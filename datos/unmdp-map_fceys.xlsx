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drawing7.xml" ContentType="application/vnd.openxmlformats-officedocument.drawing+xml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ntador Público" sheetId="2" state="visible" r:id="rId4"/>
    <sheet name="Lic. Administración" sheetId="3" state="visible" r:id="rId5"/>
    <sheet name="Lic. Economía" sheetId="4" state="visible" r:id="rId6"/>
    <sheet name="Lic. Turismo" sheetId="5" state="visible" r:id="rId7"/>
    <sheet name="Prof. Economía" sheetId="6" state="visible" r:id="rId8"/>
    <sheet name="Tec. Contable" sheetId="7" state="visible" r:id="rId9"/>
    <sheet name="Tec. Comercialización" sheetId="8" state="visible" r:id="rId10"/>
    <sheet name="Tec. Comercio Exterior" sheetId="9" state="visible" r:id="rId11"/>
    <sheet name="Tec. Periodismo Digital" sheetId="10" state="visible" r:id="rId12"/>
    <sheet name="Tec. Turismo" sheetId="11" state="visible" r:id="rId13"/>
  </sheets>
  <definedNames>
    <definedName function="false" hidden="true" localSheetId="1" name="_xlnm._FilterDatabase" vbProcedure="false">'Contador Público'!$A$1:$U$46</definedName>
    <definedName function="false" hidden="true" localSheetId="2" name="_xlnm._FilterDatabase" vbProcedure="false">'Lic. Administración'!$A$1:$U$46</definedName>
    <definedName function="false" hidden="true" localSheetId="3" name="_xlnm._FilterDatabase" vbProcedure="false">'Lic. Economía'!$A$1:$U$46</definedName>
    <definedName function="false" hidden="true" localSheetId="4" name="_xlnm._FilterDatabase" vbProcedure="false">'Lic. Turismo'!$A$1:$U$46</definedName>
    <definedName function="false" hidden="true" localSheetId="5" name="_xlnm._FilterDatabase" vbProcedure="false">'Prof. Economía'!$A$1:$U$51</definedName>
    <definedName function="false" hidden="true" localSheetId="7" name="_xlnm._FilterDatabase" vbProcedure="false">'Tec. Comercialización'!$A$1:$U$26</definedName>
    <definedName function="false" hidden="true" localSheetId="8" name="_xlnm._FilterDatabase" vbProcedure="false">'Tec. Comercio Exterior'!$A$1:$U$26</definedName>
    <definedName function="false" hidden="true" localSheetId="6" name="_xlnm._FilterDatabase" vbProcedure="false">'Tec. Contable'!$A$1:$U$25</definedName>
    <definedName function="false" hidden="true" localSheetId="9" name="_xlnm._FilterDatabase" vbProcedure="false">'Tec. Periodismo Digital'!$A$1:$U$26</definedName>
    <definedName function="false" hidden="true" localSheetId="10" name="_xlnm._FilterDatabase" vbProcedure="false">'Tec. Turismo'!$A$1:$U$29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Los planes no indican si para cursar alcanza con la cursada aprobada de las correlativas o se pide el final. Elegí la regla que corresponda; para rendir el final siempre se piden las correlativas aprobadas.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9" authorId="0">
      <text>
        <r>
          <rPr>
            <sz val="10"/>
            <rFont val="Arial"/>
            <family val="2"/>
          </rPr>
          <t xml:space="preserve">Correlativa 598 no figura en este plan; no se tiene en cuenta.</t>
        </r>
      </text>
    </commen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Desplegable: No cursada / Cursada aprobada / Aprobada. Es la única columna para editar.</t>
        </r>
      </text>
    </comment>
    <comment ref="T1" authorId="0">
      <text>
        <r>
          <rPr>
            <sz val="10"/>
            <rFont val="Arial"/>
            <family val="2"/>
          </rPr>
          <t xml:space="preserve">Solo para materias con la cursada aprobada: Sí cuando todas las correlativas están Aprobada.</t>
        </r>
      </text>
    </comment>
    <comment ref="U1" authorId="0">
      <text>
        <r>
          <rPr>
            <sz val="10"/>
            <rFont val="Arial"/>
            <family val="2"/>
          </rPr>
          <t xml:space="preserve">Avisa en rojo si la materia figura Aprobada con alguna correlativa sin aprobar, o Cursada aprobada con correlativas que no cumplen la regla para cursar. Corregí el estado de la materia o de esas correlativas.</t>
        </r>
      </text>
    </comment>
  </commentList>
</comments>
</file>

<file path=xl/sharedStrings.xml><?xml version="1.0" encoding="utf-8"?>
<sst xmlns="http://schemas.openxmlformats.org/spreadsheetml/2006/main" count="2048" uniqueCount="319">
  <si>
    <t xml:space="preserve">UNMdP Map · Ciencias Económicas y Sociales</t>
  </si>
  <si>
    <t xml:space="preserve">Carrera</t>
  </si>
  <si>
    <t xml:space="preserve">Plan</t>
  </si>
  <si>
    <t xml:space="preserve">Materias</t>
  </si>
  <si>
    <t xml:space="preserve">Aprobadas</t>
  </si>
  <si>
    <t xml:space="preserve">Cursadas aprobadas</t>
  </si>
  <si>
    <t xml:space="preserve">Puedo cursar</t>
  </si>
  <si>
    <t xml:space="preserve">Bloqueadas</t>
  </si>
  <si>
    <t xml:space="preserve">Contador Público</t>
  </si>
  <si>
    <t xml:space="preserve">Plan E (2005) · OCS 446/2018</t>
  </si>
  <si>
    <t xml:space="preserve">Licenciatura en Administración</t>
  </si>
  <si>
    <t xml:space="preserve">Plan C (2005) · OCS 881/2004</t>
  </si>
  <si>
    <t xml:space="preserve">Licenciatura en Economía</t>
  </si>
  <si>
    <t xml:space="preserve">Plan E (2005) · RM 1281/2019</t>
  </si>
  <si>
    <t xml:space="preserve">Licenciatura en Turismo</t>
  </si>
  <si>
    <t xml:space="preserve">Plan E (2005) · OCS 370/2004 y 513/2009</t>
  </si>
  <si>
    <t xml:space="preserve">Profesorado Universitario en Economía</t>
  </si>
  <si>
    <t xml:space="preserve">OCA 2344/2011 y 125/2018</t>
  </si>
  <si>
    <t xml:space="preserve">Tecnicatura Universitaria Contable</t>
  </si>
  <si>
    <t xml:space="preserve">RM 435/2020</t>
  </si>
  <si>
    <t xml:space="preserve">Tecnicatura Universitaria en Comercialización</t>
  </si>
  <si>
    <t xml:space="preserve">OCS 1569/2015 · RM 875/2016</t>
  </si>
  <si>
    <t xml:space="preserve">Tecnicatura Universitaria en Comercio Exterior</t>
  </si>
  <si>
    <t xml:space="preserve">OCS 2226/2016 · RM 2625/2017</t>
  </si>
  <si>
    <t xml:space="preserve">Tecnicatura Universitaria en Periodismo Digital</t>
  </si>
  <si>
    <t xml:space="preserve">OCS 2322/2017</t>
  </si>
  <si>
    <t xml:space="preserve">Tecnicatura Universitaria en Turismo</t>
  </si>
  <si>
    <t xml:space="preserve">OCA 1902/2015 · RM 518/2017</t>
  </si>
  <si>
    <t xml:space="preserve">Para cursar, las correlativas tienen que tener:</t>
  </si>
  <si>
    <t xml:space="preserve">La cursada aprobada</t>
  </si>
  <si>
    <t xml:space="preserve">Cómo usar: en la hoja de tu carrera cambiá la columna Estado (texto azul): No cursada, Cursada aprobada o Aprobada.</t>
  </si>
  <si>
    <t xml:space="preserve">¿Puedo cursar? muestra Sí cuando las correlativas cumplen la regla elegida arriba (celda amarilla).</t>
  </si>
  <si>
    <t xml:space="preserve">¿Puedo rendir el final? aparece en las materias con la cursada aprobada: Sí cuando todas sus correlativas están Aprobada.</t>
  </si>
  <si>
    <t xml:space="preserve">Una materia nunca puede estar Aprobada si alguna correlativa no lo está. La columna Correlativas a revisar marca en rojo esos casos.</t>
  </si>
  <si>
    <t xml:space="preserve">La cursada aprobada tiene un año de vigencia (OCA 357/2025).</t>
  </si>
  <si>
    <t xml:space="preserve">Los códigos de correlativas que no figuran en el plan no se tienen en cuenta (tienen un comentario).</t>
  </si>
  <si>
    <t xml:space="preserve">Fuente: planes de estudio publicados en eco.mdp.edu.ar (clic en el nombre de la carrera). Verificá con la facultad.</t>
  </si>
  <si>
    <t xml:space="preserve">Ciclo</t>
  </si>
  <si>
    <t xml:space="preserve">Orientación / Grupo</t>
  </si>
  <si>
    <t xml:space="preserve">Año</t>
  </si>
  <si>
    <t xml:space="preserve">Cuat.</t>
  </si>
  <si>
    <t xml:space="preserve">Área</t>
  </si>
  <si>
    <t xml:space="preserve">Cód.</t>
  </si>
  <si>
    <t xml:space="preserve">Denominación</t>
  </si>
  <si>
    <t xml:space="preserve">Grupo</t>
  </si>
  <si>
    <t xml:space="preserve">Hs/s</t>
  </si>
  <si>
    <t xml:space="preserve">Hs Bim</t>
  </si>
  <si>
    <t xml:space="preserve">Hs Cuat</t>
  </si>
  <si>
    <t xml:space="preserve">Corr. 1</t>
  </si>
  <si>
    <t xml:space="preserve">Corr. 2</t>
  </si>
  <si>
    <t xml:space="preserve">Corr. 3</t>
  </si>
  <si>
    <t xml:space="preserve">Corr. 4</t>
  </si>
  <si>
    <t xml:space="preserve">Corr. 5</t>
  </si>
  <si>
    <t xml:space="preserve">Estado</t>
  </si>
  <si>
    <t xml:space="preserve">¿Puedo cursar?</t>
  </si>
  <si>
    <t xml:space="preserve">Correlativas pendientes</t>
  </si>
  <si>
    <t xml:space="preserve">¿Puedo rendir el final?</t>
  </si>
  <si>
    <t xml:space="preserve">Correlativas a revisar</t>
  </si>
  <si>
    <t xml:space="preserve">Ciclo básico</t>
  </si>
  <si>
    <t xml:space="preserve">EC</t>
  </si>
  <si>
    <t xml:space="preserve">Introducción a la Economía</t>
  </si>
  <si>
    <t xml:space="preserve">I</t>
  </si>
  <si>
    <t xml:space="preserve">No cursada</t>
  </si>
  <si>
    <t xml:space="preserve">AD</t>
  </si>
  <si>
    <t xml:space="preserve">Principios de Administración</t>
  </si>
  <si>
    <t xml:space="preserve">MA</t>
  </si>
  <si>
    <t xml:space="preserve">Matemática I</t>
  </si>
  <si>
    <t xml:space="preserve">CO</t>
  </si>
  <si>
    <t xml:space="preserve">Contabilidad I</t>
  </si>
  <si>
    <t xml:space="preserve">CS</t>
  </si>
  <si>
    <t xml:space="preserve">Historia Económica y Social I</t>
  </si>
  <si>
    <t xml:space="preserve">II</t>
  </si>
  <si>
    <t xml:space="preserve">Sociología</t>
  </si>
  <si>
    <t xml:space="preserve">Matemática II</t>
  </si>
  <si>
    <t xml:space="preserve">Macroeconomía I</t>
  </si>
  <si>
    <t xml:space="preserve">Funciones Organizacionales</t>
  </si>
  <si>
    <t xml:space="preserve">Historia Económica y Social II</t>
  </si>
  <si>
    <t xml:space="preserve">JU</t>
  </si>
  <si>
    <t xml:space="preserve">Derecho Constitucional</t>
  </si>
  <si>
    <t xml:space="preserve">Derecho Administrativo</t>
  </si>
  <si>
    <t xml:space="preserve">Contabilidad II</t>
  </si>
  <si>
    <t xml:space="preserve">Microeconomía I</t>
  </si>
  <si>
    <t xml:space="preserve">Estadística</t>
  </si>
  <si>
    <t xml:space="preserve">Ciclo profesional</t>
  </si>
  <si>
    <t xml:space="preserve">Contabilidad III</t>
  </si>
  <si>
    <t xml:space="preserve">Sistemas de Información</t>
  </si>
  <si>
    <t xml:space="preserve">Matemática Financiera</t>
  </si>
  <si>
    <t xml:space="preserve">Derecho Privado</t>
  </si>
  <si>
    <t xml:space="preserve">Costos</t>
  </si>
  <si>
    <t xml:space="preserve">Economía y Org. del Sector Público</t>
  </si>
  <si>
    <t xml:space="preserve">Sociedades</t>
  </si>
  <si>
    <t xml:space="preserve">Metodología de las Ciencias Sociales</t>
  </si>
  <si>
    <t xml:space="preserve">III</t>
  </si>
  <si>
    <t xml:space="preserve">Análisis Económico y Financiero</t>
  </si>
  <si>
    <t xml:space="preserve">Impuestos I</t>
  </si>
  <si>
    <t xml:space="preserve">Derecho del Trabajo y de la Seg. Social</t>
  </si>
  <si>
    <t xml:space="preserve">Elementos de Adm. de Personal</t>
  </si>
  <si>
    <t xml:space="preserve">Elementos de Adm. de Comercialización</t>
  </si>
  <si>
    <t xml:space="preserve">Auditoría</t>
  </si>
  <si>
    <t xml:space="preserve">SA</t>
  </si>
  <si>
    <t xml:space="preserve">Ética y Responsabilidad Social</t>
  </si>
  <si>
    <t xml:space="preserve">Impuestos II</t>
  </si>
  <si>
    <t xml:space="preserve">Información para Control Gerencial</t>
  </si>
  <si>
    <t xml:space="preserve">Empresas en Crisis. Títulos de Créd.</t>
  </si>
  <si>
    <t xml:space="preserve">Práctica Profesional</t>
  </si>
  <si>
    <t xml:space="preserve">Ciclo de orientación</t>
  </si>
  <si>
    <t xml:space="preserve">Teoría Contable Avanzada</t>
  </si>
  <si>
    <t xml:space="preserve">Normas Contables Comparadas</t>
  </si>
  <si>
    <t xml:space="preserve">Gestión Pública</t>
  </si>
  <si>
    <t xml:space="preserve">Org. y Adm. Financiera del Estado</t>
  </si>
  <si>
    <t xml:space="preserve">Gestión de Org. de la Economía Regional</t>
  </si>
  <si>
    <t xml:space="preserve">Creación de Empresas</t>
  </si>
  <si>
    <t xml:space="preserve">Derecho Empresario (Jurídico-Contable)</t>
  </si>
  <si>
    <t xml:space="preserve">Contratos Especiales</t>
  </si>
  <si>
    <t xml:space="preserve">Gestión Financiera</t>
  </si>
  <si>
    <t xml:space="preserve">Análisis y Evaluación de Proyectos</t>
  </si>
  <si>
    <t xml:space="preserve">Requisitos instrumentales</t>
  </si>
  <si>
    <t xml:space="preserve">Nivel de Inglés Técnico I</t>
  </si>
  <si>
    <t xml:space="preserve">Nivel de Computación</t>
  </si>
  <si>
    <t xml:space="preserve">Taller Uso de Programas de Computación</t>
  </si>
  <si>
    <t xml:space="preserve">SI</t>
  </si>
  <si>
    <t xml:space="preserve">Acreditar 30 horas de Investigación</t>
  </si>
  <si>
    <t xml:space="preserve">SE</t>
  </si>
  <si>
    <t xml:space="preserve">Seminario de Práctica Sociocomunitaria</t>
  </si>
  <si>
    <t xml:space="preserve">Acreditar 30 hs Pasantías o Prácticas Profesionales Académicas</t>
  </si>
  <si>
    <t xml:space="preserve">Valuación y Exposición Contable</t>
  </si>
  <si>
    <t xml:space="preserve">Sistema de Información</t>
  </si>
  <si>
    <t xml:space="preserve">Derecho del Trab. y de la Seg. Social</t>
  </si>
  <si>
    <t xml:space="preserve">Comportamiento Organizacional</t>
  </si>
  <si>
    <t xml:space="preserve">Costos para la toma de decisiones</t>
  </si>
  <si>
    <t xml:space="preserve">Finanzas y Org. del Sector Público</t>
  </si>
  <si>
    <t xml:space="preserve">Investigac. de Operaciones en Administ.</t>
  </si>
  <si>
    <t xml:space="preserve">Derecho Económico</t>
  </si>
  <si>
    <t xml:space="preserve">Decisiones financieras de corto plazo</t>
  </si>
  <si>
    <t xml:space="preserve">Administración Tributaria</t>
  </si>
  <si>
    <t xml:space="preserve">Administración de Operaciones</t>
  </si>
  <si>
    <t xml:space="preserve">Administración de la Comercialización</t>
  </si>
  <si>
    <t xml:space="preserve">Administración de Recursos Humanos</t>
  </si>
  <si>
    <t xml:space="preserve">Decisiones financieras de largo plazo</t>
  </si>
  <si>
    <t xml:space="preserve">Teoría de las Decisiones</t>
  </si>
  <si>
    <t xml:space="preserve">Conduc. Estratég. y Control de Gestión</t>
  </si>
  <si>
    <t xml:space="preserve">Práct. Profesional en el ámbito judicial</t>
  </si>
  <si>
    <t xml:space="preserve">Gestión Estratégica</t>
  </si>
  <si>
    <t xml:space="preserve">Análisis organizacional</t>
  </si>
  <si>
    <t xml:space="preserve">Comercialización</t>
  </si>
  <si>
    <t xml:space="preserve">Investigación de Mercado</t>
  </si>
  <si>
    <t xml:space="preserve">Administración del Estado y Políticas Públicas</t>
  </si>
  <si>
    <t xml:space="preserve">Creación de empresas</t>
  </si>
  <si>
    <t xml:space="preserve">Acreditar 30 horas Pasantías o Prácticas Profesionales Académicas</t>
  </si>
  <si>
    <t xml:space="preserve">Matemática para Economistas I</t>
  </si>
  <si>
    <t xml:space="preserve">Estadística Metodológica</t>
  </si>
  <si>
    <t xml:space="preserve">Teoría Social y Política</t>
  </si>
  <si>
    <t xml:space="preserve">Matemática para Economistas II</t>
  </si>
  <si>
    <t xml:space="preserve">Metodología de la Investigación</t>
  </si>
  <si>
    <t xml:space="preserve">Macroeconomía II</t>
  </si>
  <si>
    <t xml:space="preserve">Microeconomía II</t>
  </si>
  <si>
    <t xml:space="preserve">Estadística para Economistas</t>
  </si>
  <si>
    <t xml:space="preserve">Análisis Económico-Financiero de Emp.</t>
  </si>
  <si>
    <t xml:space="preserve">Dinero, Crédito y Bancos</t>
  </si>
  <si>
    <t xml:space="preserve">Economía Internacional</t>
  </si>
  <si>
    <t xml:space="preserve">Economía Ambiental</t>
  </si>
  <si>
    <t xml:space="preserve">Política Económica I</t>
  </si>
  <si>
    <t xml:space="preserve">Econometría I</t>
  </si>
  <si>
    <t xml:space="preserve">Economía Política</t>
  </si>
  <si>
    <t xml:space="preserve">Historia del Pensamiento Económico</t>
  </si>
  <si>
    <t xml:space="preserve">Desarrollo Económico</t>
  </si>
  <si>
    <t xml:space="preserve">Política Económica II</t>
  </si>
  <si>
    <t xml:space="preserve">Metodología de la Invest. Aplicada</t>
  </si>
  <si>
    <t xml:space="preserve">Desarrollo Regional</t>
  </si>
  <si>
    <t xml:space="preserve">Economía de Empresas</t>
  </si>
  <si>
    <t xml:space="preserve">Teoría de la Firma y de la Organización Industrial</t>
  </si>
  <si>
    <t xml:space="preserve">Estado y Políticas Públicas</t>
  </si>
  <si>
    <t xml:space="preserve">Nivel de Inglés Técnico II</t>
  </si>
  <si>
    <t xml:space="preserve">Tesina de Graduación</t>
  </si>
  <si>
    <t xml:space="preserve">TU</t>
  </si>
  <si>
    <t xml:space="preserve">Introducción al Turismo</t>
  </si>
  <si>
    <t xml:space="preserve">Introducción a la Matemática</t>
  </si>
  <si>
    <t xml:space="preserve">Sociología Aplicada</t>
  </si>
  <si>
    <t xml:space="preserve">El Arte en la cultura</t>
  </si>
  <si>
    <t xml:space="preserve">Antropología cultural</t>
  </si>
  <si>
    <t xml:space="preserve">Espacios Turísticos Mundiales</t>
  </si>
  <si>
    <t xml:space="preserve">Estadística Aplicada</t>
  </si>
  <si>
    <t xml:space="preserve">Contabilidad General</t>
  </si>
  <si>
    <t xml:space="preserve">Espacios Turísticos Americanos</t>
  </si>
  <si>
    <t xml:space="preserve">Economía Aplicada</t>
  </si>
  <si>
    <t xml:space="preserve">Recursos Naturales</t>
  </si>
  <si>
    <t xml:space="preserve">Teoría del Turismo y la Recreación</t>
  </si>
  <si>
    <t xml:space="preserve">Organizaciones de Alojamiento y Recreación</t>
  </si>
  <si>
    <t xml:space="preserve">Recursos Culturales</t>
  </si>
  <si>
    <t xml:space="preserve">Psicología de Grupos</t>
  </si>
  <si>
    <t xml:space="preserve">Adm. Financiera de Organizaciones Turísticas</t>
  </si>
  <si>
    <t xml:space="preserve">Agencias de Viajes y Transportes</t>
  </si>
  <si>
    <t xml:space="preserve">Comercialización Aplicada</t>
  </si>
  <si>
    <t xml:space="preserve">Inglés Técnico</t>
  </si>
  <si>
    <t xml:space="preserve">Gestión Pública de Turismo</t>
  </si>
  <si>
    <t xml:space="preserve">Investigación Aplicada al Turismo</t>
  </si>
  <si>
    <t xml:space="preserve">Gestión de Personal de Organizac. Turísticas</t>
  </si>
  <si>
    <t xml:space="preserve">Política y planificación</t>
  </si>
  <si>
    <t xml:space="preserve">Proyectos Turísticos</t>
  </si>
  <si>
    <t xml:space="preserve">Práctica profesional en Turismo</t>
  </si>
  <si>
    <t xml:space="preserve">Sector Público</t>
  </si>
  <si>
    <t xml:space="preserve">Sector Privado</t>
  </si>
  <si>
    <t xml:space="preserve">Análisis Organizacional</t>
  </si>
  <si>
    <t xml:space="preserve">Ambiental</t>
  </si>
  <si>
    <t xml:space="preserve">Gestión Ambiental</t>
  </si>
  <si>
    <t xml:space="preserve">Problemática Educativa</t>
  </si>
  <si>
    <t xml:space="preserve">Sistema Educativo y Curriculum</t>
  </si>
  <si>
    <t xml:space="preserve">Planeamiento y Gestión Institucional</t>
  </si>
  <si>
    <t xml:space="preserve">Adolescencia, Educación y Cultura</t>
  </si>
  <si>
    <t xml:space="preserve">Ciclo superior</t>
  </si>
  <si>
    <t xml:space="preserve">Didáctica General</t>
  </si>
  <si>
    <t xml:space="preserve">Política Económica Argentina</t>
  </si>
  <si>
    <t xml:space="preserve">Didáctica y Práctica de la Enseñanza I</t>
  </si>
  <si>
    <t xml:space="preserve">Didáctica y Práctica de la Enseñanza II</t>
  </si>
  <si>
    <t xml:space="preserve">Optativas</t>
  </si>
  <si>
    <t xml:space="preserve">Grupo I</t>
  </si>
  <si>
    <t xml:space="preserve">Optativa</t>
  </si>
  <si>
    <t xml:space="preserve">FH</t>
  </si>
  <si>
    <t xml:space="preserve">Introducción a las Ciencias Políticas</t>
  </si>
  <si>
    <t xml:space="preserve">Filosofía de la Educación</t>
  </si>
  <si>
    <t xml:space="preserve">Introducción a la Psicología</t>
  </si>
  <si>
    <t xml:space="preserve">Psicología de la Educación</t>
  </si>
  <si>
    <t xml:space="preserve">Sociología del Desarrollo</t>
  </si>
  <si>
    <t xml:space="preserve">Pensamiento Social Latinoamericano</t>
  </si>
  <si>
    <t xml:space="preserve">Grupo II</t>
  </si>
  <si>
    <t xml:space="preserve">Adm. del Estado y Políticas Públicas</t>
  </si>
  <si>
    <t xml:space="preserve">Teoría de la Firma y de la Org. Industrial</t>
  </si>
  <si>
    <t xml:space="preserve">Mercado de Trabajo y Relaciones Laborales</t>
  </si>
  <si>
    <t xml:space="preserve">Las Organizaciones Asociativas y la Economía Solidaria</t>
  </si>
  <si>
    <t xml:space="preserve">Sector Pesquero y Org. Industrial</t>
  </si>
  <si>
    <t xml:space="preserve">Políticas Pesqueras</t>
  </si>
  <si>
    <t xml:space="preserve">Estructura Económica Mundial y Argentina</t>
  </si>
  <si>
    <t xml:space="preserve">Economía de los Mercados Agrarios</t>
  </si>
  <si>
    <t xml:space="preserve">Metodología de la Investigación Aplicada</t>
  </si>
  <si>
    <t xml:space="preserve">Taller de Nuevas Tecnologías de la Información y la Conectividad</t>
  </si>
  <si>
    <t xml:space="preserve">Taller de Sistemas de Información Contable</t>
  </si>
  <si>
    <t xml:space="preserve">Ciclo introductorio</t>
  </si>
  <si>
    <t xml:space="preserve">Taller de Introducción a la Vida Universitaria</t>
  </si>
  <si>
    <t xml:space="preserve">Aproximación a las Ciencias Económicas y Sociales</t>
  </si>
  <si>
    <t xml:space="preserve">Aproximación a las Matemáticas</t>
  </si>
  <si>
    <t xml:space="preserve">Formación general</t>
  </si>
  <si>
    <t xml:space="preserve">1/2/3</t>
  </si>
  <si>
    <t xml:space="preserve">Principios de Derecho Público</t>
  </si>
  <si>
    <t xml:space="preserve">2/1/3</t>
  </si>
  <si>
    <t xml:space="preserve">Sistemas de información de la organización</t>
  </si>
  <si>
    <t xml:space="preserve">Derecho Comercial</t>
  </si>
  <si>
    <t xml:space="preserve">Contabilidad Avanzada</t>
  </si>
  <si>
    <t xml:space="preserve">Elementos de costos</t>
  </si>
  <si>
    <t xml:space="preserve">Nociones de Estadística y de Cálculo Financiero</t>
  </si>
  <si>
    <t xml:space="preserve">Entidades sin fines de lucro</t>
  </si>
  <si>
    <t xml:space="preserve">Elementos de Práctica Tributaria</t>
  </si>
  <si>
    <t xml:space="preserve">Derecho del Trabajo y la Seguridad Social</t>
  </si>
  <si>
    <t xml:space="preserve">Nociones de administración financiera</t>
  </si>
  <si>
    <t xml:space="preserve">Seminario de Prácticas Integradas</t>
  </si>
  <si>
    <t xml:space="preserve">Taller de uso de computación</t>
  </si>
  <si>
    <t xml:space="preserve">Taller de uso de aplicativos impositivos</t>
  </si>
  <si>
    <t xml:space="preserve">Taller de liquidación de sueldos y jornales</t>
  </si>
  <si>
    <t xml:space="preserve">Taller de Introducción a la vida Universitaria</t>
  </si>
  <si>
    <t xml:space="preserve">Aproximación a la Matemática</t>
  </si>
  <si>
    <t xml:space="preserve">Taller de Competitividad y Posicionamiento</t>
  </si>
  <si>
    <t xml:space="preserve">Precios y Costos</t>
  </si>
  <si>
    <t xml:space="preserve">Comunicación y Medios</t>
  </si>
  <si>
    <t xml:space="preserve">Gestión de Productos y Servicios</t>
  </si>
  <si>
    <t xml:space="preserve">Comportamiento del Consumidor</t>
  </si>
  <si>
    <t xml:space="preserve">Logística y Distribución</t>
  </si>
  <si>
    <t xml:space="preserve">Planificación y Control Comercial</t>
  </si>
  <si>
    <t xml:space="preserve">Investigación de Mercados</t>
  </si>
  <si>
    <t xml:space="preserve">Seminario de Práctica Profesional</t>
  </si>
  <si>
    <t xml:space="preserve">Taller de Uso de Programas (SPSS)</t>
  </si>
  <si>
    <t xml:space="preserve">AD/EC</t>
  </si>
  <si>
    <t xml:space="preserve">Introducción al Comercio Internacional</t>
  </si>
  <si>
    <t xml:space="preserve">Estrategias de Comercio Internacional</t>
  </si>
  <si>
    <t xml:space="preserve">1084B</t>
  </si>
  <si>
    <t xml:space="preserve">Régimen Aduanero</t>
  </si>
  <si>
    <t xml:space="preserve">Operatoria de Comercio Exterior</t>
  </si>
  <si>
    <t xml:space="preserve">AD/CO</t>
  </si>
  <si>
    <t xml:space="preserve">Logística Internacional</t>
  </si>
  <si>
    <t xml:space="preserve">Investigación de Mercados Internacionales</t>
  </si>
  <si>
    <t xml:space="preserve">Teoría del Comercio y Finanzas Internacionales</t>
  </si>
  <si>
    <t xml:space="preserve">Marketing Internacional</t>
  </si>
  <si>
    <t xml:space="preserve">Internacionalización de Pymes Regionales</t>
  </si>
  <si>
    <t xml:space="preserve">Nivel de Computación Sistema María-Malvina</t>
  </si>
  <si>
    <t xml:space="preserve">Taller de lectura y escritura académica</t>
  </si>
  <si>
    <t xml:space="preserve">Teoría de la Comunicación</t>
  </si>
  <si>
    <t xml:space="preserve">Introducción a los medios de comunicación</t>
  </si>
  <si>
    <t xml:space="preserve">Tecnologías de la Información</t>
  </si>
  <si>
    <t xml:space="preserve">Derecho y Políticas de Comunicación</t>
  </si>
  <si>
    <t xml:space="preserve">Lenguajes del periodismo multimedial</t>
  </si>
  <si>
    <t xml:space="preserve">Semiótica</t>
  </si>
  <si>
    <t xml:space="preserve">Antropología Cultural</t>
  </si>
  <si>
    <t xml:space="preserve">Taller de periodismo gráfico</t>
  </si>
  <si>
    <t xml:space="preserve">Taller de contenidos en redes sociales</t>
  </si>
  <si>
    <t xml:space="preserve">Opinión Pública</t>
  </si>
  <si>
    <t xml:space="preserve">Taller de redacción periodística para medios digitales</t>
  </si>
  <si>
    <t xml:space="preserve">Taller de periodismo radial</t>
  </si>
  <si>
    <t xml:space="preserve">Taller de periodismo televisivo</t>
  </si>
  <si>
    <t xml:space="preserve">Las organizaciones asociativas y la economía solidaria</t>
  </si>
  <si>
    <t xml:space="preserve">Diseño de Proyectos Digitales Colaborativos</t>
  </si>
  <si>
    <t xml:space="preserve">Gestión de la Información en Red</t>
  </si>
  <si>
    <t xml:space="preserve">Acreditar 50 horas de Práctica Profesional Comunitaria</t>
  </si>
  <si>
    <t xml:space="preserve">Principios Turísticos y Recreativos</t>
  </si>
  <si>
    <t xml:space="preserve">Contabilidad</t>
  </si>
  <si>
    <t xml:space="preserve">Estadística Aplicada al Turismo</t>
  </si>
  <si>
    <t xml:space="preserve">Turismo y Legislación</t>
  </si>
  <si>
    <t xml:space="preserve">Turismo y Naturaleza</t>
  </si>
  <si>
    <t xml:space="preserve">Alojamiento y Recreación</t>
  </si>
  <si>
    <t xml:space="preserve">Turismo y Cultura</t>
  </si>
  <si>
    <t xml:space="preserve">Animación sociocultural</t>
  </si>
  <si>
    <t xml:space="preserve">Viajes y Transporte</t>
  </si>
  <si>
    <t xml:space="preserve">Comercialización Turística</t>
  </si>
  <si>
    <t xml:space="preserve">Práctica Profesional Técnica I</t>
  </si>
  <si>
    <t xml:space="preserve">Turismo de Reuniones</t>
  </si>
  <si>
    <t xml:space="preserve">Sector Público y Turismo</t>
  </si>
  <si>
    <t xml:space="preserve">Práctica Profesional Técnica II</t>
  </si>
  <si>
    <t xml:space="preserve">Inglés Técnico I</t>
  </si>
  <si>
    <t xml:space="preserve">Inglés Técnico II</t>
  </si>
  <si>
    <t xml:space="preserve">Nivel de Portugués</t>
  </si>
  <si>
    <t xml:space="preserve">Uso de Programas de Computación I</t>
  </si>
  <si>
    <t xml:space="preserve">Uso de Programas de Computación II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</si>
</sst>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59D"/>
        <bgColor rgb="FFECEF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D4EEF4"/>
        </patternFill>
      </fill>
    </dxf>
    <dxf>
      <font>
        <b val="1"/>
        <color rgb="FFB71C1C"/>
      </font>
      <fill>
        <patternFill>
          <bgColor rgb="FFFFCDD2"/>
        </patternFill>
      </fill>
    </dxf>
    <dxf>
      <font>
        <b val="1"/>
        <color rgb="FF1B5E20"/>
      </font>
      <fill>
        <patternFill>
          <bgColor rgb="FFC8E6C9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607D8B"/>
      </font>
      <fill>
        <patternFill>
          <bgColor rgb="FFECEF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607D8B"/>
      <rgbColor rgb="FF9999FF"/>
      <rgbColor rgb="FF993366"/>
      <rgbColor rgb="FFECEFF1"/>
      <rgbColor rgb="FFD4EEF4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co.mdp.edu.ar/component/content/article/206-plan-de-estudio-contador-publico-2005-plan-e-oca-n-880-04?Itemid=817&amp;catid=184" TargetMode="External"/><Relationship Id="rId3" Type="http://schemas.openxmlformats.org/officeDocument/2006/relationships/hyperlink" Target="https://eco.mdp.edu.ar/component/content/article/208-plan-de-estudio-lic-en-administracion-2005-plan-c-oca-n-881-04?Itemid=818&amp;catid=184" TargetMode="External"/><Relationship Id="rId4" Type="http://schemas.openxmlformats.org/officeDocument/2006/relationships/hyperlink" Target="https://eco.mdp.edu.ar/component/content/article/207-plan-de-estudio-lic-en-economia-2005-plan-e-oca-n-882-04?Itemid=819&amp;catid=184" TargetMode="External"/><Relationship Id="rId5" Type="http://schemas.openxmlformats.org/officeDocument/2006/relationships/hyperlink" Target="https://eco.mdp.edu.ar/plan-de-estudio-turismo" TargetMode="External"/><Relationship Id="rId6" Type="http://schemas.openxmlformats.org/officeDocument/2006/relationships/hyperlink" Target="https://eco.mdp.edu.ar/component/content/article/209-plan-de-estudio-profesorado-universitario-en-economia-a?Itemid=821&amp;catid=184" TargetMode="External"/><Relationship Id="rId7" Type="http://schemas.openxmlformats.org/officeDocument/2006/relationships/hyperlink" Target="https://eco.mdp.edu.ar/carreras/4551-plan-de-estudio-tec-universitaria-contable" TargetMode="External"/><Relationship Id="rId8" Type="http://schemas.openxmlformats.org/officeDocument/2006/relationships/hyperlink" Target="https://eco.mdp.edu.ar/tuc" TargetMode="External"/><Relationship Id="rId9" Type="http://schemas.openxmlformats.org/officeDocument/2006/relationships/hyperlink" Target="https://eco.mdp.edu.ar/tuce" TargetMode="External"/><Relationship Id="rId10" Type="http://schemas.openxmlformats.org/officeDocument/2006/relationships/hyperlink" Target="https://eco.mdp.edu.ar/tupd" TargetMode="External"/><Relationship Id="rId11" Type="http://schemas.openxmlformats.org/officeDocument/2006/relationships/hyperlink" Target="https://eco.mdp.edu.ar/component/content/article/2214-plan-de-estudio-tec-turismo?catid=184:planes-de-estudio&amp;Itemid=1106" TargetMode="External"/><Relationship Id="rId1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3" t="n">
        <f aca="false">COUNTA('Contador Público'!F2:F46)</f>
        <v>45</v>
      </c>
      <c r="D4" s="3" t="n">
        <f aca="false">COUNTIF('Contador Público'!Q2:Q46,"Aprobada")</f>
        <v>0</v>
      </c>
      <c r="E4" s="3" t="n">
        <f aca="false">COUNTIF('Contador Público'!Q2:Q46,"Cursada aprobada")</f>
        <v>0</v>
      </c>
      <c r="F4" s="3" t="n">
        <f aca="false">COUNTIF('Contador Público'!R2:R46,"Sí")</f>
        <v>16</v>
      </c>
      <c r="G4" s="3" t="n">
        <f aca="false">COUNTIF('Contador Público'!R2:R46,"No")</f>
        <v>29</v>
      </c>
    </row>
    <row r="5" customFormat="false" ht="15" hidden="false" customHeight="false" outlineLevel="0" collapsed="false">
      <c r="A5" s="3" t="s">
        <v>10</v>
      </c>
      <c r="B5" s="4" t="s">
        <v>11</v>
      </c>
      <c r="C5" s="3" t="n">
        <f aca="false">COUNTA('Lic. Administración'!F2:F46)</f>
        <v>45</v>
      </c>
      <c r="D5" s="3" t="n">
        <f aca="false">COUNTIF('Lic. Administración'!Q2:Q46,"Aprobada")</f>
        <v>0</v>
      </c>
      <c r="E5" s="3" t="n">
        <f aca="false">COUNTIF('Lic. Administración'!Q2:Q46,"Cursada aprobada")</f>
        <v>0</v>
      </c>
      <c r="F5" s="3" t="n">
        <f aca="false">COUNTIF('Lic. Administración'!R2:R46,"Sí")</f>
        <v>15</v>
      </c>
      <c r="G5" s="3" t="n">
        <f aca="false">COUNTIF('Lic. Administración'!R2:R46,"No")</f>
        <v>30</v>
      </c>
    </row>
    <row r="6" customFormat="false" ht="15" hidden="false" customHeight="false" outlineLevel="0" collapsed="false">
      <c r="A6" s="3" t="s">
        <v>12</v>
      </c>
      <c r="B6" s="4" t="s">
        <v>13</v>
      </c>
      <c r="C6" s="3" t="n">
        <f aca="false">COUNTA('Lic. Economía'!F2:F46)</f>
        <v>45</v>
      </c>
      <c r="D6" s="3" t="n">
        <f aca="false">COUNTIF('Lic. Economía'!Q2:Q46,"Aprobada")</f>
        <v>0</v>
      </c>
      <c r="E6" s="3" t="n">
        <f aca="false">COUNTIF('Lic. Economía'!Q2:Q46,"Cursada aprobada")</f>
        <v>0</v>
      </c>
      <c r="F6" s="3" t="n">
        <f aca="false">COUNTIF('Lic. Economía'!R2:R46,"Sí")</f>
        <v>18</v>
      </c>
      <c r="G6" s="3" t="n">
        <f aca="false">COUNTIF('Lic. Economía'!R2:R46,"No")</f>
        <v>27</v>
      </c>
    </row>
    <row r="7" customFormat="false" ht="15" hidden="false" customHeight="false" outlineLevel="0" collapsed="false">
      <c r="A7" s="3" t="s">
        <v>14</v>
      </c>
      <c r="B7" s="4" t="s">
        <v>15</v>
      </c>
      <c r="C7" s="3" t="n">
        <f aca="false">COUNTA('Lic. Turismo'!F2:F46)</f>
        <v>45</v>
      </c>
      <c r="D7" s="3" t="n">
        <f aca="false">COUNTIF('Lic. Turismo'!Q2:Q46,"Aprobada")</f>
        <v>0</v>
      </c>
      <c r="E7" s="3" t="n">
        <f aca="false">COUNTIF('Lic. Turismo'!Q2:Q46,"Cursada aprobada")</f>
        <v>0</v>
      </c>
      <c r="F7" s="3" t="n">
        <f aca="false">COUNTIF('Lic. Turismo'!R2:R46,"Sí")</f>
        <v>23</v>
      </c>
      <c r="G7" s="3" t="n">
        <f aca="false">COUNTIF('Lic. Turismo'!R2:R46,"No")</f>
        <v>22</v>
      </c>
    </row>
    <row r="8" customFormat="false" ht="15" hidden="false" customHeight="false" outlineLevel="0" collapsed="false">
      <c r="A8" s="3" t="s">
        <v>16</v>
      </c>
      <c r="B8" s="4" t="s">
        <v>17</v>
      </c>
      <c r="C8" s="3" t="n">
        <f aca="false">COUNTA('Prof. Economía'!F2:F51)</f>
        <v>50</v>
      </c>
      <c r="D8" s="3" t="n">
        <f aca="false">COUNTIF('Prof. Economía'!Q2:Q51,"Aprobada")</f>
        <v>0</v>
      </c>
      <c r="E8" s="3" t="n">
        <f aca="false">COUNTIF('Prof. Economía'!Q2:Q51,"Cursada aprobada")</f>
        <v>0</v>
      </c>
      <c r="F8" s="3" t="n">
        <f aca="false">COUNTIF('Prof. Economía'!R2:R51,"Sí")</f>
        <v>17</v>
      </c>
      <c r="G8" s="3" t="n">
        <f aca="false">COUNTIF('Prof. Economía'!R2:R51,"No")</f>
        <v>33</v>
      </c>
    </row>
    <row r="9" customFormat="false" ht="15" hidden="false" customHeight="false" outlineLevel="0" collapsed="false">
      <c r="A9" s="3" t="s">
        <v>18</v>
      </c>
      <c r="B9" s="4" t="s">
        <v>19</v>
      </c>
      <c r="C9" s="3" t="n">
        <f aca="false">COUNTA('Tec. Contable'!F2:F25)</f>
        <v>24</v>
      </c>
      <c r="D9" s="3" t="n">
        <f aca="false">COUNTIF('Tec. Contable'!Q2:Q25,"Aprobada")</f>
        <v>0</v>
      </c>
      <c r="E9" s="3" t="n">
        <f aca="false">COUNTIF('Tec. Contable'!Q2:Q25,"Cursada aprobada")</f>
        <v>0</v>
      </c>
      <c r="F9" s="3" t="n">
        <f aca="false">COUNTIF('Tec. Contable'!R2:R25,"Sí")</f>
        <v>4</v>
      </c>
      <c r="G9" s="3" t="n">
        <f aca="false">COUNTIF('Tec. Contable'!R2:R25,"No")</f>
        <v>20</v>
      </c>
    </row>
    <row r="10" customFormat="false" ht="15" hidden="false" customHeight="false" outlineLevel="0" collapsed="false">
      <c r="A10" s="3" t="s">
        <v>20</v>
      </c>
      <c r="B10" s="4" t="s">
        <v>21</v>
      </c>
      <c r="C10" s="3" t="n">
        <f aca="false">COUNTA('Tec. Comercialización'!F2:F26)</f>
        <v>25</v>
      </c>
      <c r="D10" s="3" t="n">
        <f aca="false">COUNTIF('Tec. Comercialización'!Q2:Q26,"Aprobada")</f>
        <v>0</v>
      </c>
      <c r="E10" s="3" t="n">
        <f aca="false">COUNTIF('Tec. Comercialización'!Q2:Q26,"Cursada aprobada")</f>
        <v>0</v>
      </c>
      <c r="F10" s="3" t="n">
        <f aca="false">COUNTIF('Tec. Comercialización'!R2:R26,"Sí")</f>
        <v>6</v>
      </c>
      <c r="G10" s="3" t="n">
        <f aca="false">COUNTIF('Tec. Comercialización'!R2:R26,"No")</f>
        <v>19</v>
      </c>
    </row>
    <row r="11" customFormat="false" ht="15" hidden="false" customHeight="false" outlineLevel="0" collapsed="false">
      <c r="A11" s="3" t="s">
        <v>22</v>
      </c>
      <c r="B11" s="4" t="s">
        <v>23</v>
      </c>
      <c r="C11" s="3" t="n">
        <f aca="false">COUNTA('Tec. Comercio Exterior'!F2:F26)</f>
        <v>25</v>
      </c>
      <c r="D11" s="3" t="n">
        <f aca="false">COUNTIF('Tec. Comercio Exterior'!Q2:Q26,"Aprobada")</f>
        <v>0</v>
      </c>
      <c r="E11" s="3" t="n">
        <f aca="false">COUNTIF('Tec. Comercio Exterior'!Q2:Q26,"Cursada aprobada")</f>
        <v>0</v>
      </c>
      <c r="F11" s="3" t="n">
        <f aca="false">COUNTIF('Tec. Comercio Exterior'!R2:R26,"Sí")</f>
        <v>6</v>
      </c>
      <c r="G11" s="3" t="n">
        <f aca="false">COUNTIF('Tec. Comercio Exterior'!R2:R26,"No")</f>
        <v>19</v>
      </c>
    </row>
    <row r="12" customFormat="false" ht="15" hidden="false" customHeight="false" outlineLevel="0" collapsed="false">
      <c r="A12" s="3" t="s">
        <v>24</v>
      </c>
      <c r="B12" s="4" t="s">
        <v>25</v>
      </c>
      <c r="C12" s="3" t="n">
        <f aca="false">COUNTA('Tec. Periodismo Digital'!F2:F26)</f>
        <v>25</v>
      </c>
      <c r="D12" s="3" t="n">
        <f aca="false">COUNTIF('Tec. Periodismo Digital'!Q2:Q26,"Aprobada")</f>
        <v>0</v>
      </c>
      <c r="E12" s="3" t="n">
        <f aca="false">COUNTIF('Tec. Periodismo Digital'!Q2:Q26,"Cursada aprobada")</f>
        <v>0</v>
      </c>
      <c r="F12" s="3" t="n">
        <f aca="false">COUNTIF('Tec. Periodismo Digital'!R2:R26,"Sí")</f>
        <v>10</v>
      </c>
      <c r="G12" s="3" t="n">
        <f aca="false">COUNTIF('Tec. Periodismo Digital'!R2:R26,"No")</f>
        <v>15</v>
      </c>
    </row>
    <row r="13" customFormat="false" ht="15" hidden="false" customHeight="false" outlineLevel="0" collapsed="false">
      <c r="A13" s="3" t="s">
        <v>26</v>
      </c>
      <c r="B13" s="4" t="s">
        <v>27</v>
      </c>
      <c r="C13" s="3" t="n">
        <f aca="false">COUNTA('Tec. Turismo'!F2:F29)</f>
        <v>28</v>
      </c>
      <c r="D13" s="3" t="n">
        <f aca="false">COUNTIF('Tec. Turismo'!Q2:Q29,"Aprobada")</f>
        <v>0</v>
      </c>
      <c r="E13" s="3" t="n">
        <f aca="false">COUNTIF('Tec. Turismo'!Q2:Q29,"Cursada aprobada")</f>
        <v>0</v>
      </c>
      <c r="F13" s="3" t="n">
        <f aca="false">COUNTIF('Tec. Turismo'!R2:R29,"Sí")</f>
        <v>8</v>
      </c>
      <c r="G13" s="3" t="n">
        <f aca="false">COUNTIF('Tec. Turismo'!R2:R29,"No")</f>
        <v>20</v>
      </c>
    </row>
    <row r="15" customFormat="false" ht="15" hidden="false" customHeight="false" outlineLevel="0" collapsed="false">
      <c r="A15" s="5" t="s">
        <v>28</v>
      </c>
      <c r="B15" s="6" t="s">
        <v>29</v>
      </c>
    </row>
    <row r="17" customFormat="false" ht="15" hidden="false" customHeight="false" outlineLevel="0" collapsed="false">
      <c r="A17" s="4" t="s">
        <v>30</v>
      </c>
    </row>
    <row r="18" customFormat="false" ht="15" hidden="false" customHeight="false" outlineLevel="0" collapsed="false">
      <c r="A18" s="4" t="s">
        <v>31</v>
      </c>
    </row>
    <row r="19" customFormat="false" ht="15" hidden="false" customHeight="false" outlineLevel="0" collapsed="false">
      <c r="A19" s="4" t="s">
        <v>32</v>
      </c>
    </row>
    <row r="20" customFormat="false" ht="15" hidden="false" customHeight="false" outlineLevel="0" collapsed="false">
      <c r="A20" s="4" t="s">
        <v>33</v>
      </c>
    </row>
    <row r="21" customFormat="false" ht="15" hidden="false" customHeight="false" outlineLevel="0" collapsed="false">
      <c r="A21" s="4" t="s">
        <v>34</v>
      </c>
    </row>
    <row r="22" customFormat="false" ht="15" hidden="false" customHeight="false" outlineLevel="0" collapsed="false">
      <c r="A22" s="4" t="s">
        <v>35</v>
      </c>
    </row>
    <row r="23" customFormat="false" ht="15" hidden="false" customHeight="false" outlineLevel="0" collapsed="false">
      <c r="A23" s="4" t="s">
        <v>36</v>
      </c>
    </row>
  </sheetData>
  <dataValidations count="1">
    <dataValidation allowBlank="false" errorStyle="stop" operator="between" showDropDown="false" showErrorMessage="false" showInputMessage="false" sqref="B15" type="list">
      <formula1>"La cursada aprobada,El final aprobado"</formula1>
      <formula2>0</formula2>
    </dataValidation>
  </dataValidations>
  <hyperlinks>
    <hyperlink ref="A4" r:id="rId2" display="Contador Público"/>
    <hyperlink ref="A5" r:id="rId3" display="Licenciatura en Administración"/>
    <hyperlink ref="A6" r:id="rId4" display="Licenciatura en Economía"/>
    <hyperlink ref="A7" r:id="rId5" display="Licenciatura en Turismo"/>
    <hyperlink ref="A8" r:id="rId6" display="Profesorado Universitario en Economía"/>
    <hyperlink ref="A9" r:id="rId7" display="Tecnicatura Universitaria Contable"/>
    <hyperlink ref="A10" r:id="rId8" display="Tecnicatura Universitaria en Comercialización"/>
    <hyperlink ref="A11" r:id="rId9" display="Tecnicatura Universitaria en Comercio Exterior"/>
    <hyperlink ref="A12" r:id="rId10" display="Tecnicatura Universitaria en Periodismo Digital"/>
    <hyperlink ref="A13" r:id="rId11" display="Tecnicatura Universitaria en Turism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58</v>
      </c>
      <c r="B2" s="8"/>
      <c r="C2" s="9" t="n">
        <v>1</v>
      </c>
      <c r="D2" s="9" t="n">
        <v>1</v>
      </c>
      <c r="E2" s="9" t="s">
        <v>59</v>
      </c>
      <c r="F2" s="9" t="n">
        <v>101</v>
      </c>
      <c r="G2" s="8" t="s">
        <v>60</v>
      </c>
      <c r="H2" s="9" t="s">
        <v>61</v>
      </c>
      <c r="I2" s="9" t="n">
        <v>6</v>
      </c>
      <c r="J2" s="9"/>
      <c r="K2" s="9" t="n">
        <v>96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cursada",IF(AND(OR(L2="",COUNTIF($F$2:$F$46,L2)=0,COUNTIFS($F$2:$F$46,L2,$Q$2:$Q$46,"Aprobada")&gt;0,AND(Resumen!$B$15="La cursada aprobada",COUNTIFS($F$2:$F$46,L2,$Q$2:$Q$46,"Cursada aprobada")&gt;0)),OR(M2="",COUNTIF($F$2:$F$46,M2)=0,COUNTIFS($F$2:$F$46,M2,$Q$2:$Q$46,"Aprobada")&gt;0,AND(Resumen!$B$15="La cursada aprobada",COUNTIFS($F$2:$F$46,M2,$Q$2:$Q$46,"Cursada aprobada")&gt;0)),OR(N2="",COUNTIF($F$2:$F$46,N2)=0,COUNTIFS($F$2:$F$46,N2,$Q$2:$Q$46,"Aprobada")&gt;0,AND(Resumen!$B$15="La cursada aprobada",COUNTIFS($F$2:$F$46,N2,$Q$2:$Q$46,"Cursada aprobada")&gt;0)),OR(O2="",COUNTIF($F$2:$F$46,O2)=0,COUNTIFS($F$2:$F$46,O2,$Q$2:$Q$46,"Aprobada")&gt;0,AND(Resumen!$B$15="La cursada aprobada",COUNTIFS($F$2:$F$46,O2,$Q$2:$Q$46,"Cursada aprobada")&gt;0)),OR(P2="",COUNTIF($F$2:$F$46,P2)=0,COUNTIFS($F$2:$F$46,P2,$Q$2:$Q$46,"Aprobada")&gt;0,AND(Resumen!$B$15="La cursada aprobada",COUNTIFS($F$2:$F$46,P2,$Q$2:$Q$46,"Cursada aprobada")&gt;0))),"Sí","No")))</f>
        <v>Sí</v>
      </c>
      <c r="S2" s="8" t="str">
        <f aca="false">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</f>
        <v/>
      </c>
      <c r="T2" s="9" t="str">
        <f aca="false">IF(Q2="Cursada aprobada",IF(AND(OR(L2="",COUNTIF($F$2:$F$46,L2)=0,COUNTIFS($F$2:$F$46,L2,$Q$2:$Q$46,"Aprobada")&gt;0),OR(M2="",COUNTIF($F$2:$F$46,M2)=0,COUNTIFS($F$2:$F$46,M2,$Q$2:$Q$46,"Aprobada")&gt;0),OR(N2="",COUNTIF($F$2:$F$46,N2)=0,COUNTIFS($F$2:$F$46,N2,$Q$2:$Q$46,"Aprobada")&gt;0),OR(O2="",COUNTIF($F$2:$F$46,O2)=0,COUNTIFS($F$2:$F$46,O2,$Q$2:$Q$46,"Aprobada")&gt;0),OR(P2="",COUNTIF($F$2:$F$46,P2)=0,COUNTIFS($F$2:$F$46,P2,$Q$2:$Q$46,"Aprobada")&gt;0)),"Sí","No"),"")</f>
        <v/>
      </c>
      <c r="U2" s="9" t="str">
        <f aca="false">IF(Q2="Aprobada",TRIM(IF(NOT(OR(L2="",COUNTIF($F$2:$F$46,L2)=0,COUNTIFS($F$2:$F$46,L2,$Q$2:$Q$46,"Aprobada")&gt;0)),L2&amp;" ","")&amp;IF(NOT(OR(M2="",COUNTIF($F$2:$F$46,M2)=0,COUNTIFS($F$2:$F$46,M2,$Q$2:$Q$46,"Aprobada")&gt;0)),M2&amp;" ","")&amp;IF(NOT(OR(N2="",COUNTIF($F$2:$F$46,N2)=0,COUNTIFS($F$2:$F$46,N2,$Q$2:$Q$46,"Aprobada")&gt;0)),N2&amp;" ","")&amp;IF(NOT(OR(O2="",COUNTIF($F$2:$F$46,O2)=0,COUNTIFS($F$2:$F$46,O2,$Q$2:$Q$46,"Aprobada")&gt;0)),O2&amp;" ","")&amp;IF(NOT(OR(P2="",COUNTIF($F$2:$F$46,P2)=0,COUNTIFS($F$2:$F$46,P2,$Q$2:$Q$46,"Aprobada")&gt;0)),P2&amp;" ","")),IF(Q2="Cursada aprobada",TRIM(IF(NOT(OR(L2="",COUNTIF($F$2:$F$46,L2)=0,COUNTIFS($F$2:$F$46,L2,$Q$2:$Q$46,"Aprobada")&gt;0,AND(Resumen!$B$15="La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","")),""))</f>
        <v/>
      </c>
    </row>
    <row r="3" customFormat="false" ht="15" hidden="false" customHeight="false" outlineLevel="0" collapsed="false">
      <c r="A3" s="8" t="s">
        <v>58</v>
      </c>
      <c r="B3" s="8"/>
      <c r="C3" s="9" t="n">
        <v>1</v>
      </c>
      <c r="D3" s="9" t="n">
        <v>1</v>
      </c>
      <c r="E3" s="9" t="s">
        <v>63</v>
      </c>
      <c r="F3" s="9" t="n">
        <v>104</v>
      </c>
      <c r="G3" s="8" t="s">
        <v>64</v>
      </c>
      <c r="H3" s="9" t="s">
        <v>61</v>
      </c>
      <c r="I3" s="9" t="n">
        <v>6</v>
      </c>
      <c r="J3" s="9"/>
      <c r="K3" s="9" t="n">
        <v>96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cursada",IF(AND(OR(L3="",COUNTIF($F$2:$F$46,L3)=0,COUNTIFS($F$2:$F$46,L3,$Q$2:$Q$46,"Aprobada")&gt;0,AND(Resumen!$B$15="La cursada aprobada",COUNTIFS($F$2:$F$46,L3,$Q$2:$Q$46,"Cursada aprobada")&gt;0)),OR(M3="",COUNTIF($F$2:$F$46,M3)=0,COUNTIFS($F$2:$F$46,M3,$Q$2:$Q$46,"Aprobada")&gt;0,AND(Resumen!$B$15="La cursada aprobada",COUNTIFS($F$2:$F$46,M3,$Q$2:$Q$46,"Cursada aprobada")&gt;0)),OR(N3="",COUNTIF($F$2:$F$46,N3)=0,COUNTIFS($F$2:$F$46,N3,$Q$2:$Q$46,"Aprobada")&gt;0,AND(Resumen!$B$15="La cursada aprobada",COUNTIFS($F$2:$F$46,N3,$Q$2:$Q$46,"Cursada aprobada")&gt;0)),OR(O3="",COUNTIF($F$2:$F$46,O3)=0,COUNTIFS($F$2:$F$46,O3,$Q$2:$Q$46,"Aprobada")&gt;0,AND(Resumen!$B$15="La cursada aprobada",COUNTIFS($F$2:$F$46,O3,$Q$2:$Q$46,"Cursada aprobada")&gt;0)),OR(P3="",COUNTIF($F$2:$F$46,P3)=0,COUNTIFS($F$2:$F$46,P3,$Q$2:$Q$46,"Aprobada")&gt;0,AND(Resumen!$B$15="La cursada aprobada",COUNTIFS($F$2:$F$46,P3,$Q$2:$Q$46,"Cursada aprobada")&gt;0))),"Sí","No")))</f>
        <v>Sí</v>
      </c>
      <c r="S3" s="8" t="str">
        <f aca="false">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</f>
        <v/>
      </c>
      <c r="T3" s="9" t="str">
        <f aca="false">IF(Q3="Cursada aprobada",IF(AND(OR(L3="",COUNTIF($F$2:$F$46,L3)=0,COUNTIFS($F$2:$F$46,L3,$Q$2:$Q$46,"Aprobada")&gt;0),OR(M3="",COUNTIF($F$2:$F$46,M3)=0,COUNTIFS($F$2:$F$46,M3,$Q$2:$Q$46,"Aprobada")&gt;0),OR(N3="",COUNTIF($F$2:$F$46,N3)=0,COUNTIFS($F$2:$F$46,N3,$Q$2:$Q$46,"Aprobada")&gt;0),OR(O3="",COUNTIF($F$2:$F$46,O3)=0,COUNTIFS($F$2:$F$46,O3,$Q$2:$Q$46,"Aprobada")&gt;0),OR(P3="",COUNTIF($F$2:$F$46,P3)=0,COUNTIFS($F$2:$F$46,P3,$Q$2:$Q$46,"Aprobada")&gt;0)),"Sí","No"),"")</f>
        <v/>
      </c>
      <c r="U3" s="9" t="str">
        <f aca="false">IF(Q3="Aprobada",TRIM(IF(NOT(OR(L3="",COUNTIF($F$2:$F$46,L3)=0,COUNTIFS($F$2:$F$46,L3,$Q$2:$Q$46,"Aprobada")&gt;0)),L3&amp;" ","")&amp;IF(NOT(OR(M3="",COUNTIF($F$2:$F$46,M3)=0,COUNTIFS($F$2:$F$46,M3,$Q$2:$Q$46,"Aprobada")&gt;0)),M3&amp;" ","")&amp;IF(NOT(OR(N3="",COUNTIF($F$2:$F$46,N3)=0,COUNTIFS($F$2:$F$46,N3,$Q$2:$Q$46,"Aprobada")&gt;0)),N3&amp;" ","")&amp;IF(NOT(OR(O3="",COUNTIF($F$2:$F$46,O3)=0,COUNTIFS($F$2:$F$46,O3,$Q$2:$Q$46,"Aprobada")&gt;0)),O3&amp;" ","")&amp;IF(NOT(OR(P3="",COUNTIF($F$2:$F$46,P3)=0,COUNTIFS($F$2:$F$46,P3,$Q$2:$Q$46,"Aprobada")&gt;0)),P3&amp;" ","")),IF(Q3="Cursada aprobada",TRIM(IF(NOT(OR(L3="",COUNTIF($F$2:$F$46,L3)=0,COUNTIFS($F$2:$F$46,L3,$Q$2:$Q$46,"Aprobada")&gt;0,AND(Resumen!$B$15="La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","")),""))</f>
        <v/>
      </c>
    </row>
    <row r="4" customFormat="false" ht="15" hidden="false" customHeight="false" outlineLevel="0" collapsed="false">
      <c r="A4" s="8" t="s">
        <v>58</v>
      </c>
      <c r="B4" s="8"/>
      <c r="C4" s="9" t="n">
        <v>1</v>
      </c>
      <c r="D4" s="9" t="n">
        <v>1</v>
      </c>
      <c r="E4" s="9" t="s">
        <v>65</v>
      </c>
      <c r="F4" s="9" t="n">
        <v>102</v>
      </c>
      <c r="G4" s="8" t="s">
        <v>66</v>
      </c>
      <c r="H4" s="9" t="s">
        <v>61</v>
      </c>
      <c r="I4" s="9" t="n">
        <v>6</v>
      </c>
      <c r="J4" s="9"/>
      <c r="K4" s="9" t="n">
        <v>96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cursada",IF(AND(OR(L4="",COUNTIF($F$2:$F$46,L4)=0,COUNTIFS($F$2:$F$46,L4,$Q$2:$Q$46,"Aprobada")&gt;0,AND(Resumen!$B$15="La cursada aprobada",COUNTIFS($F$2:$F$46,L4,$Q$2:$Q$46,"Cursada aprobada")&gt;0)),OR(M4="",COUNTIF($F$2:$F$46,M4)=0,COUNTIFS($F$2:$F$46,M4,$Q$2:$Q$46,"Aprobada")&gt;0,AND(Resumen!$B$15="La cursada aprobada",COUNTIFS($F$2:$F$46,M4,$Q$2:$Q$46,"Cursada aprobada")&gt;0)),OR(N4="",COUNTIF($F$2:$F$46,N4)=0,COUNTIFS($F$2:$F$46,N4,$Q$2:$Q$46,"Aprobada")&gt;0,AND(Resumen!$B$15="La cursada aprobada",COUNTIFS($F$2:$F$46,N4,$Q$2:$Q$46,"Cursada aprobada")&gt;0)),OR(O4="",COUNTIF($F$2:$F$46,O4)=0,COUNTIFS($F$2:$F$46,O4,$Q$2:$Q$46,"Aprobada")&gt;0,AND(Resumen!$B$15="La cursada aprobada",COUNTIFS($F$2:$F$46,O4,$Q$2:$Q$46,"Cursada aprobada")&gt;0)),OR(P4="",COUNTIF($F$2:$F$46,P4)=0,COUNTIFS($F$2:$F$46,P4,$Q$2:$Q$46,"Aprobada")&gt;0,AND(Resumen!$B$15="La cursada aprobada",COUNTIFS($F$2:$F$46,P4,$Q$2:$Q$46,"Cursada aprobada")&gt;0))),"Sí","No")))</f>
        <v>Sí</v>
      </c>
      <c r="S4" s="8" t="str">
        <f aca="false">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</f>
        <v/>
      </c>
      <c r="T4" s="9" t="str">
        <f aca="false">IF(Q4="Cursada aprobada",IF(AND(OR(L4="",COUNTIF($F$2:$F$46,L4)=0,COUNTIFS($F$2:$F$46,L4,$Q$2:$Q$46,"Aprobada")&gt;0),OR(M4="",COUNTIF($F$2:$F$46,M4)=0,COUNTIFS($F$2:$F$46,M4,$Q$2:$Q$46,"Aprobada")&gt;0),OR(N4="",COUNTIF($F$2:$F$46,N4)=0,COUNTIFS($F$2:$F$46,N4,$Q$2:$Q$46,"Aprobada")&gt;0),OR(O4="",COUNTIF($F$2:$F$46,O4)=0,COUNTIFS($F$2:$F$46,O4,$Q$2:$Q$46,"Aprobada")&gt;0),OR(P4="",COUNTIF($F$2:$F$46,P4)=0,COUNTIFS($F$2:$F$46,P4,$Q$2:$Q$46,"Aprobada")&gt;0)),"Sí","No"),"")</f>
        <v/>
      </c>
      <c r="U4" s="9" t="str">
        <f aca="false">IF(Q4="Aprobada",TRIM(IF(NOT(OR(L4="",COUNTIF($F$2:$F$46,L4)=0,COUNTIFS($F$2:$F$46,L4,$Q$2:$Q$46,"Aprobada")&gt;0)),L4&amp;" ","")&amp;IF(NOT(OR(M4="",COUNTIF($F$2:$F$46,M4)=0,COUNTIFS($F$2:$F$46,M4,$Q$2:$Q$46,"Aprobada")&gt;0)),M4&amp;" ","")&amp;IF(NOT(OR(N4="",COUNTIF($F$2:$F$46,N4)=0,COUNTIFS($F$2:$F$46,N4,$Q$2:$Q$46,"Aprobada")&gt;0)),N4&amp;" ","")&amp;IF(NOT(OR(O4="",COUNTIF($F$2:$F$46,O4)=0,COUNTIFS($F$2:$F$46,O4,$Q$2:$Q$46,"Aprobada")&gt;0)),O4&amp;" ","")&amp;IF(NOT(OR(P4="",COUNTIF($F$2:$F$46,P4)=0,COUNTIFS($F$2:$F$46,P4,$Q$2:$Q$46,"Aprobada")&gt;0)),P4&amp;" ","")),IF(Q4="Cursada aprobada",TRIM(IF(NOT(OR(L4="",COUNTIF($F$2:$F$46,L4)=0,COUNTIFS($F$2:$F$46,L4,$Q$2:$Q$46,"Aprobada")&gt;0,AND(Resumen!$B$15="La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","")),""))</f>
        <v/>
      </c>
    </row>
    <row r="5" customFormat="false" ht="15" hidden="false" customHeight="false" outlineLevel="0" collapsed="false">
      <c r="A5" s="8" t="s">
        <v>58</v>
      </c>
      <c r="B5" s="8"/>
      <c r="C5" s="9" t="n">
        <v>1</v>
      </c>
      <c r="D5" s="9" t="n">
        <v>2</v>
      </c>
      <c r="E5" s="9" t="s">
        <v>67</v>
      </c>
      <c r="F5" s="9" t="n">
        <v>103</v>
      </c>
      <c r="G5" s="8" t="s">
        <v>68</v>
      </c>
      <c r="H5" s="9" t="s">
        <v>61</v>
      </c>
      <c r="I5" s="9" t="n">
        <v>6</v>
      </c>
      <c r="J5" s="9"/>
      <c r="K5" s="9" t="n">
        <v>96</v>
      </c>
      <c r="L5" s="9"/>
      <c r="M5" s="9"/>
      <c r="N5" s="9"/>
      <c r="O5" s="9"/>
      <c r="P5" s="9"/>
      <c r="Q5" s="10" t="s">
        <v>62</v>
      </c>
      <c r="R5" s="9" t="str">
        <f aca="false">IF(Q5="Aprobada","Ya aprobada",IF(Q5="Cursada aprobada","Ya cursada",IF(AND(OR(L5="",COUNTIF($F$2:$F$46,L5)=0,COUNTIFS($F$2:$F$46,L5,$Q$2:$Q$46,"Aprobada")&gt;0,AND(Resumen!$B$15="La cursada aprobada",COUNTIFS($F$2:$F$46,L5,$Q$2:$Q$46,"Cursada aprobada")&gt;0)),OR(M5="",COUNTIF($F$2:$F$46,M5)=0,COUNTIFS($F$2:$F$46,M5,$Q$2:$Q$46,"Aprobada")&gt;0,AND(Resumen!$B$15="La cursada aprobada",COUNTIFS($F$2:$F$46,M5,$Q$2:$Q$46,"Cursada aprobada")&gt;0)),OR(N5="",COUNTIF($F$2:$F$46,N5)=0,COUNTIFS($F$2:$F$46,N5,$Q$2:$Q$46,"Aprobada")&gt;0,AND(Resumen!$B$15="La cursada aprobada",COUNTIFS($F$2:$F$46,N5,$Q$2:$Q$46,"Cursada aprobada")&gt;0)),OR(O5="",COUNTIF($F$2:$F$46,O5)=0,COUNTIFS($F$2:$F$46,O5,$Q$2:$Q$46,"Aprobada")&gt;0,AND(Resumen!$B$15="La cursada aprobada",COUNTIFS($F$2:$F$46,O5,$Q$2:$Q$46,"Cursada aprobada")&gt;0)),OR(P5="",COUNTIF($F$2:$F$46,P5)=0,COUNTIFS($F$2:$F$46,P5,$Q$2:$Q$46,"Aprobada")&gt;0,AND(Resumen!$B$15="La cursada aprobada",COUNTIFS($F$2:$F$46,P5,$Q$2:$Q$46,"Cursada aprobada")&gt;0))),"Sí","No")))</f>
        <v>Sí</v>
      </c>
      <c r="S5" s="8" t="str">
        <f aca="false">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</f>
        <v/>
      </c>
      <c r="T5" s="9" t="str">
        <f aca="false">IF(Q5="Cursada aprobada",IF(AND(OR(L5="",COUNTIF($F$2:$F$46,L5)=0,COUNTIFS($F$2:$F$46,L5,$Q$2:$Q$46,"Aprobada")&gt;0),OR(M5="",COUNTIF($F$2:$F$46,M5)=0,COUNTIFS($F$2:$F$46,M5,$Q$2:$Q$46,"Aprobada")&gt;0),OR(N5="",COUNTIF($F$2:$F$46,N5)=0,COUNTIFS($F$2:$F$46,N5,$Q$2:$Q$46,"Aprobada")&gt;0),OR(O5="",COUNTIF($F$2:$F$46,O5)=0,COUNTIFS($F$2:$F$46,O5,$Q$2:$Q$46,"Aprobada")&gt;0),OR(P5="",COUNTIF($F$2:$F$46,P5)=0,COUNTIFS($F$2:$F$46,P5,$Q$2:$Q$46,"Aprobada")&gt;0)),"Sí","No"),"")</f>
        <v/>
      </c>
      <c r="U5" s="9" t="str">
        <f aca="false">IF(Q5="Aprobada",TRIM(IF(NOT(OR(L5="",COUNTIF($F$2:$F$46,L5)=0,COUNTIFS($F$2:$F$46,L5,$Q$2:$Q$46,"Aprobada")&gt;0)),L5&amp;" ","")&amp;IF(NOT(OR(M5="",COUNTIF($F$2:$F$46,M5)=0,COUNTIFS($F$2:$F$46,M5,$Q$2:$Q$46,"Aprobada")&gt;0)),M5&amp;" ","")&amp;IF(NOT(OR(N5="",COUNTIF($F$2:$F$46,N5)=0,COUNTIFS($F$2:$F$46,N5,$Q$2:$Q$46,"Aprobada")&gt;0)),N5&amp;" ","")&amp;IF(NOT(OR(O5="",COUNTIF($F$2:$F$46,O5)=0,COUNTIFS($F$2:$F$46,O5,$Q$2:$Q$46,"Aprobada")&gt;0)),O5&amp;" ","")&amp;IF(NOT(OR(P5="",COUNTIF($F$2:$F$46,P5)=0,COUNTIFS($F$2:$F$46,P5,$Q$2:$Q$46,"Aprobada")&gt;0)),P5&amp;" ","")),IF(Q5="Cursada aprobada",TRIM(IF(NOT(OR(L5="",COUNTIF($F$2:$F$46,L5)=0,COUNTIFS($F$2:$F$46,L5,$Q$2:$Q$46,"Aprobada")&gt;0,AND(Resumen!$B$15="La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","")),""))</f>
        <v/>
      </c>
    </row>
    <row r="6" customFormat="false" ht="15" hidden="false" customHeight="false" outlineLevel="0" collapsed="false">
      <c r="A6" s="8" t="s">
        <v>58</v>
      </c>
      <c r="B6" s="8"/>
      <c r="C6" s="9" t="n">
        <v>1</v>
      </c>
      <c r="D6" s="9" t="n">
        <v>2</v>
      </c>
      <c r="E6" s="9" t="s">
        <v>69</v>
      </c>
      <c r="F6" s="9" t="n">
        <v>180</v>
      </c>
      <c r="G6" s="8" t="s">
        <v>70</v>
      </c>
      <c r="H6" s="9" t="s">
        <v>71</v>
      </c>
      <c r="I6" s="9" t="n">
        <v>4</v>
      </c>
      <c r="J6" s="9"/>
      <c r="K6" s="9" t="n">
        <v>64</v>
      </c>
      <c r="L6" s="9"/>
      <c r="M6" s="9"/>
      <c r="N6" s="9"/>
      <c r="O6" s="9"/>
      <c r="P6" s="9"/>
      <c r="Q6" s="10" t="s">
        <v>62</v>
      </c>
      <c r="R6" s="9" t="str">
        <f aca="false">IF(Q6="Aprobada","Ya aprobada",IF(Q6="Cursada aprobada","Ya cursada",IF(AND(OR(L6="",COUNTIF($F$2:$F$46,L6)=0,COUNTIFS($F$2:$F$46,L6,$Q$2:$Q$46,"Aprobada")&gt;0,AND(Resumen!$B$15="La cursada aprobada",COUNTIFS($F$2:$F$46,L6,$Q$2:$Q$46,"Cursada aprobada")&gt;0)),OR(M6="",COUNTIF($F$2:$F$46,M6)=0,COUNTIFS($F$2:$F$46,M6,$Q$2:$Q$46,"Aprobada")&gt;0,AND(Resumen!$B$15="La cursada aprobada",COUNTIFS($F$2:$F$46,M6,$Q$2:$Q$46,"Cursada aprobada")&gt;0)),OR(N6="",COUNTIF($F$2:$F$46,N6)=0,COUNTIFS($F$2:$F$46,N6,$Q$2:$Q$46,"Aprobada")&gt;0,AND(Resumen!$B$15="La cursada aprobada",COUNTIFS($F$2:$F$46,N6,$Q$2:$Q$46,"Cursada aprobada")&gt;0)),OR(O6="",COUNTIF($F$2:$F$46,O6)=0,COUNTIFS($F$2:$F$46,O6,$Q$2:$Q$46,"Aprobada")&gt;0,AND(Resumen!$B$15="La cursada aprobada",COUNTIFS($F$2:$F$46,O6,$Q$2:$Q$46,"Cursada aprobada")&gt;0)),OR(P6="",COUNTIF($F$2:$F$46,P6)=0,COUNTIFS($F$2:$F$46,P6,$Q$2:$Q$46,"Aprobada")&gt;0,AND(Resumen!$B$15="La cursada aprobada",COUNTIFS($F$2:$F$46,P6,$Q$2:$Q$46,"Cursada aprobada")&gt;0))),"Sí","No")))</f>
        <v>Sí</v>
      </c>
      <c r="S6" s="8" t="str">
        <f aca="false">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</f>
        <v/>
      </c>
      <c r="T6" s="9" t="str">
        <f aca="false">IF(Q6="Cursada aprobada",IF(AND(OR(L6="",COUNTIF($F$2:$F$46,L6)=0,COUNTIFS($F$2:$F$46,L6,$Q$2:$Q$46,"Aprobada")&gt;0),OR(M6="",COUNTIF($F$2:$F$46,M6)=0,COUNTIFS($F$2:$F$46,M6,$Q$2:$Q$46,"Aprobada")&gt;0),OR(N6="",COUNTIF($F$2:$F$46,N6)=0,COUNTIFS($F$2:$F$46,N6,$Q$2:$Q$46,"Aprobada")&gt;0),OR(O6="",COUNTIF($F$2:$F$46,O6)=0,COUNTIFS($F$2:$F$46,O6,$Q$2:$Q$46,"Aprobada")&gt;0),OR(P6="",COUNTIF($F$2:$F$46,P6)=0,COUNTIFS($F$2:$F$46,P6,$Q$2:$Q$46,"Aprobada")&gt;0)),"Sí","No"),"")</f>
        <v/>
      </c>
      <c r="U6" s="9" t="str">
        <f aca="false">IF(Q6="Aprobada",TRIM(IF(NOT(OR(L6="",COUNTIF($F$2:$F$46,L6)=0,COUNTIFS($F$2:$F$46,L6,$Q$2:$Q$46,"Aprobada")&gt;0)),L6&amp;" ","")&amp;IF(NOT(OR(M6="",COUNTIF($F$2:$F$46,M6)=0,COUNTIFS($F$2:$F$46,M6,$Q$2:$Q$46,"Aprobada")&gt;0)),M6&amp;" ","")&amp;IF(NOT(OR(N6="",COUNTIF($F$2:$F$46,N6)=0,COUNTIFS($F$2:$F$46,N6,$Q$2:$Q$46,"Aprobada")&gt;0)),N6&amp;" ","")&amp;IF(NOT(OR(O6="",COUNTIF($F$2:$F$46,O6)=0,COUNTIFS($F$2:$F$46,O6,$Q$2:$Q$46,"Aprobada")&gt;0)),O6&amp;" ","")&amp;IF(NOT(OR(P6="",COUNTIF($F$2:$F$46,P6)=0,COUNTIFS($F$2:$F$46,P6,$Q$2:$Q$46,"Aprobada")&gt;0)),P6&amp;" ","")),IF(Q6="Cursada aprobada",TRIM(IF(NOT(OR(L6="",COUNTIF($F$2:$F$46,L6)=0,COUNTIFS($F$2:$F$46,L6,$Q$2:$Q$46,"Aprobada")&gt;0,AND(Resumen!$B$15="La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","")),""))</f>
        <v/>
      </c>
    </row>
    <row r="7" customFormat="false" ht="15" hidden="false" customHeight="false" outlineLevel="0" collapsed="false">
      <c r="A7" s="8" t="s">
        <v>58</v>
      </c>
      <c r="B7" s="8"/>
      <c r="C7" s="9" t="n">
        <v>1</v>
      </c>
      <c r="D7" s="9" t="n">
        <v>2</v>
      </c>
      <c r="E7" s="9" t="s">
        <v>69</v>
      </c>
      <c r="F7" s="9" t="n">
        <v>205</v>
      </c>
      <c r="G7" s="8" t="s">
        <v>72</v>
      </c>
      <c r="H7" s="9" t="s">
        <v>71</v>
      </c>
      <c r="I7" s="9" t="n">
        <v>4</v>
      </c>
      <c r="J7" s="9"/>
      <c r="K7" s="9" t="n">
        <v>64</v>
      </c>
      <c r="L7" s="9"/>
      <c r="M7" s="9"/>
      <c r="N7" s="9"/>
      <c r="O7" s="9"/>
      <c r="P7" s="9"/>
      <c r="Q7" s="10" t="s">
        <v>62</v>
      </c>
      <c r="R7" s="9" t="str">
        <f aca="false">IF(Q7="Aprobada","Ya aprobada",IF(Q7="Cursada aprobada","Ya cursada",IF(AND(OR(L7="",COUNTIF($F$2:$F$46,L7)=0,COUNTIFS($F$2:$F$46,L7,$Q$2:$Q$46,"Aprobada")&gt;0,AND(Resumen!$B$15="La cursada aprobada",COUNTIFS($F$2:$F$46,L7,$Q$2:$Q$46,"Cursada aprobada")&gt;0)),OR(M7="",COUNTIF($F$2:$F$46,M7)=0,COUNTIFS($F$2:$F$46,M7,$Q$2:$Q$46,"Aprobada")&gt;0,AND(Resumen!$B$15="La cursada aprobada",COUNTIFS($F$2:$F$46,M7,$Q$2:$Q$46,"Cursada aprobada")&gt;0)),OR(N7="",COUNTIF($F$2:$F$46,N7)=0,COUNTIFS($F$2:$F$46,N7,$Q$2:$Q$46,"Aprobada")&gt;0,AND(Resumen!$B$15="La cursada aprobada",COUNTIFS($F$2:$F$46,N7,$Q$2:$Q$46,"Cursada aprobada")&gt;0)),OR(O7="",COUNTIF($F$2:$F$46,O7)=0,COUNTIFS($F$2:$F$46,O7,$Q$2:$Q$46,"Aprobada")&gt;0,AND(Resumen!$B$15="La cursada aprobada",COUNTIFS($F$2:$F$46,O7,$Q$2:$Q$46,"Cursada aprobada")&gt;0)),OR(P7="",COUNTIF($F$2:$F$46,P7)=0,COUNTIFS($F$2:$F$46,P7,$Q$2:$Q$46,"Aprobada")&gt;0,AND(Resumen!$B$15="La cursada aprobada",COUNTIFS($F$2:$F$46,P7,$Q$2:$Q$46,"Cursada aprobada")&gt;0))),"Sí","No")))</f>
        <v>Sí</v>
      </c>
      <c r="S7" s="8" t="str">
        <f aca="false">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</f>
        <v/>
      </c>
      <c r="T7" s="9" t="str">
        <f aca="false">IF(Q7="Cursada aprobada",IF(AND(OR(L7="",COUNTIF($F$2:$F$46,L7)=0,COUNTIFS($F$2:$F$46,L7,$Q$2:$Q$46,"Aprobada")&gt;0),OR(M7="",COUNTIF($F$2:$F$46,M7)=0,COUNTIFS($F$2:$F$46,M7,$Q$2:$Q$46,"Aprobada")&gt;0),OR(N7="",COUNTIF($F$2:$F$46,N7)=0,COUNTIFS($F$2:$F$46,N7,$Q$2:$Q$46,"Aprobada")&gt;0),OR(O7="",COUNTIF($F$2:$F$46,O7)=0,COUNTIFS($F$2:$F$46,O7,$Q$2:$Q$46,"Aprobada")&gt;0),OR(P7="",COUNTIF($F$2:$F$46,P7)=0,COUNTIFS($F$2:$F$46,P7,$Q$2:$Q$46,"Aprobada")&gt;0)),"Sí","No"),"")</f>
        <v/>
      </c>
      <c r="U7" s="9" t="str">
        <f aca="false">IF(Q7="Aprobada",TRIM(IF(NOT(OR(L7="",COUNTIF($F$2:$F$46,L7)=0,COUNTIFS($F$2:$F$46,L7,$Q$2:$Q$46,"Aprobada")&gt;0)),L7&amp;" ","")&amp;IF(NOT(OR(M7="",COUNTIF($F$2:$F$46,M7)=0,COUNTIFS($F$2:$F$46,M7,$Q$2:$Q$46,"Aprobada")&gt;0)),M7&amp;" ","")&amp;IF(NOT(OR(N7="",COUNTIF($F$2:$F$46,N7)=0,COUNTIFS($F$2:$F$46,N7,$Q$2:$Q$46,"Aprobada")&gt;0)),N7&amp;" ","")&amp;IF(NOT(OR(O7="",COUNTIF($F$2:$F$46,O7)=0,COUNTIFS($F$2:$F$46,O7,$Q$2:$Q$46,"Aprobada")&gt;0)),O7&amp;" ","")&amp;IF(NOT(OR(P7="",COUNTIF($F$2:$F$46,P7)=0,COUNTIFS($F$2:$F$46,P7,$Q$2:$Q$46,"Aprobada")&gt;0)),P7&amp;" ","")),IF(Q7="Cursada aprobada",TRIM(IF(NOT(OR(L7="",COUNTIF($F$2:$F$46,L7)=0,COUNTIFS($F$2:$F$46,L7,$Q$2:$Q$46,"Aprobada")&gt;0,AND(Resumen!$B$15="La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","")),""))</f>
        <v/>
      </c>
    </row>
    <row r="8" customFormat="false" ht="15" hidden="false" customHeight="false" outlineLevel="0" collapsed="false">
      <c r="A8" s="8" t="s">
        <v>58</v>
      </c>
      <c r="B8" s="8"/>
      <c r="C8" s="9" t="n">
        <v>1</v>
      </c>
      <c r="D8" s="9" t="n">
        <v>2</v>
      </c>
      <c r="E8" s="9" t="s">
        <v>65</v>
      </c>
      <c r="F8" s="9" t="n">
        <v>209</v>
      </c>
      <c r="G8" s="8" t="s">
        <v>73</v>
      </c>
      <c r="H8" s="9" t="s">
        <v>61</v>
      </c>
      <c r="I8" s="9" t="n">
        <v>5</v>
      </c>
      <c r="J8" s="9"/>
      <c r="K8" s="9" t="n">
        <v>80</v>
      </c>
      <c r="L8" s="9" t="n">
        <v>102</v>
      </c>
      <c r="M8" s="9"/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cursada",IF(AND(OR(L8="",COUNTIF($F$2:$F$46,L8)=0,COUNTIFS($F$2:$F$46,L8,$Q$2:$Q$46,"Aprobada")&gt;0,AND(Resumen!$B$15="La cursada aprobada",COUNTIFS($F$2:$F$46,L8,$Q$2:$Q$46,"Cursada aprobada")&gt;0)),OR(M8="",COUNTIF($F$2:$F$46,M8)=0,COUNTIFS($F$2:$F$46,M8,$Q$2:$Q$46,"Aprobada")&gt;0,AND(Resumen!$B$15="La cursada aprobada",COUNTIFS($F$2:$F$46,M8,$Q$2:$Q$46,"Cursada aprobada")&gt;0)),OR(N8="",COUNTIF($F$2:$F$46,N8)=0,COUNTIFS($F$2:$F$46,N8,$Q$2:$Q$46,"Aprobada")&gt;0,AND(Resumen!$B$15="La cursada aprobada",COUNTIFS($F$2:$F$46,N8,$Q$2:$Q$46,"Cursada aprobada")&gt;0)),OR(O8="",COUNTIF($F$2:$F$46,O8)=0,COUNTIFS($F$2:$F$46,O8,$Q$2:$Q$46,"Aprobada")&gt;0,AND(Resumen!$B$15="La cursada aprobada",COUNTIFS($F$2:$F$46,O8,$Q$2:$Q$46,"Cursada aprobada")&gt;0)),OR(P8="",COUNTIF($F$2:$F$46,P8)=0,COUNTIFS($F$2:$F$46,P8,$Q$2:$Q$46,"Aprobada")&gt;0,AND(Resumen!$B$15="La cursada aprobada",COUNTIFS($F$2:$F$46,P8,$Q$2:$Q$46,"Cursada aprobada")&gt;0))),"Sí","No")))</f>
        <v>No</v>
      </c>
      <c r="S8" s="8" t="str">
        <f aca="false">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</f>
        <v>102</v>
      </c>
      <c r="T8" s="9" t="str">
        <f aca="false">IF(Q8="Cursada aprobada",IF(AND(OR(L8="",COUNTIF($F$2:$F$46,L8)=0,COUNTIFS($F$2:$F$46,L8,$Q$2:$Q$46,"Aprobada")&gt;0),OR(M8="",COUNTIF($F$2:$F$46,M8)=0,COUNTIFS($F$2:$F$46,M8,$Q$2:$Q$46,"Aprobada")&gt;0),OR(N8="",COUNTIF($F$2:$F$46,N8)=0,COUNTIFS($F$2:$F$46,N8,$Q$2:$Q$46,"Aprobada")&gt;0),OR(O8="",COUNTIF($F$2:$F$46,O8)=0,COUNTIFS($F$2:$F$46,O8,$Q$2:$Q$46,"Aprobada")&gt;0),OR(P8="",COUNTIF($F$2:$F$46,P8)=0,COUNTIFS($F$2:$F$46,P8,$Q$2:$Q$46,"Aprobada")&gt;0)),"Sí","No"),"")</f>
        <v/>
      </c>
      <c r="U8" s="9" t="str">
        <f aca="false">IF(Q8="Aprobada",TRIM(IF(NOT(OR(L8="",COUNTIF($F$2:$F$46,L8)=0,COUNTIFS($F$2:$F$46,L8,$Q$2:$Q$46,"Aprobada")&gt;0)),L8&amp;" ","")&amp;IF(NOT(OR(M8="",COUNTIF($F$2:$F$46,M8)=0,COUNTIFS($F$2:$F$46,M8,$Q$2:$Q$46,"Aprobada")&gt;0)),M8&amp;" ","")&amp;IF(NOT(OR(N8="",COUNTIF($F$2:$F$46,N8)=0,COUNTIFS($F$2:$F$46,N8,$Q$2:$Q$46,"Aprobada")&gt;0)),N8&amp;" ","")&amp;IF(NOT(OR(O8="",COUNTIF($F$2:$F$46,O8)=0,COUNTIFS($F$2:$F$46,O8,$Q$2:$Q$46,"Aprobada")&gt;0)),O8&amp;" ","")&amp;IF(NOT(OR(P8="",COUNTIF($F$2:$F$46,P8)=0,COUNTIFS($F$2:$F$46,P8,$Q$2:$Q$46,"Aprobada")&gt;0)),P8&amp;" ","")),IF(Q8="Cursada aprobada",TRIM(IF(NOT(OR(L8="",COUNTIF($F$2:$F$46,L8)=0,COUNTIFS($F$2:$F$46,L8,$Q$2:$Q$46,"Aprobada")&gt;0,AND(Resumen!$B$15="La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","")),""))</f>
        <v/>
      </c>
    </row>
    <row r="9" customFormat="false" ht="15" hidden="false" customHeight="false" outlineLevel="0" collapsed="false">
      <c r="A9" s="8" t="s">
        <v>58</v>
      </c>
      <c r="B9" s="8"/>
      <c r="C9" s="9" t="n">
        <v>2</v>
      </c>
      <c r="D9" s="9" t="n">
        <v>1</v>
      </c>
      <c r="E9" s="9" t="s">
        <v>59</v>
      </c>
      <c r="F9" s="9" t="n">
        <v>314</v>
      </c>
      <c r="G9" s="8" t="s">
        <v>74</v>
      </c>
      <c r="H9" s="9" t="s">
        <v>61</v>
      </c>
      <c r="I9" s="9" t="n">
        <v>6</v>
      </c>
      <c r="J9" s="9"/>
      <c r="K9" s="9" t="n">
        <v>96</v>
      </c>
      <c r="L9" s="9" t="n">
        <v>101</v>
      </c>
      <c r="M9" s="9" t="n">
        <v>209</v>
      </c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cursada",IF(AND(OR(L9="",COUNTIF($F$2:$F$46,L9)=0,COUNTIFS($F$2:$F$46,L9,$Q$2:$Q$46,"Aprobada")&gt;0,AND(Resumen!$B$15="La cursada aprobada",COUNTIFS($F$2:$F$46,L9,$Q$2:$Q$46,"Cursada aprobada")&gt;0)),OR(M9="",COUNTIF($F$2:$F$46,M9)=0,COUNTIFS($F$2:$F$46,M9,$Q$2:$Q$46,"Aprobada")&gt;0,AND(Resumen!$B$15="La cursada aprobada",COUNTIFS($F$2:$F$46,M9,$Q$2:$Q$46,"Cursada aprobada")&gt;0)),OR(N9="",COUNTIF($F$2:$F$46,N9)=0,COUNTIFS($F$2:$F$46,N9,$Q$2:$Q$46,"Aprobada")&gt;0,AND(Resumen!$B$15="La cursada aprobada",COUNTIFS($F$2:$F$46,N9,$Q$2:$Q$46,"Cursada aprobada")&gt;0)),OR(O9="",COUNTIF($F$2:$F$46,O9)=0,COUNTIFS($F$2:$F$46,O9,$Q$2:$Q$46,"Aprobada")&gt;0,AND(Resumen!$B$15="La cursada aprobada",COUNTIFS($F$2:$F$46,O9,$Q$2:$Q$46,"Cursada aprobada")&gt;0)),OR(P9="",COUNTIF($F$2:$F$46,P9)=0,COUNTIFS($F$2:$F$46,P9,$Q$2:$Q$46,"Aprobada")&gt;0,AND(Resumen!$B$15="La cursada aprobada",COUNTIFS($F$2:$F$46,P9,$Q$2:$Q$46,"Cursada aprobada")&gt;0))),"Sí","No")))</f>
        <v>No</v>
      </c>
      <c r="S9" s="8" t="str">
        <f aca="false">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</f>
        <v>101 209</v>
      </c>
      <c r="T9" s="9" t="str">
        <f aca="false">IF(Q9="Cursada aprobada",IF(AND(OR(L9="",COUNTIF($F$2:$F$46,L9)=0,COUNTIFS($F$2:$F$46,L9,$Q$2:$Q$46,"Aprobada")&gt;0),OR(M9="",COUNTIF($F$2:$F$46,M9)=0,COUNTIFS($F$2:$F$46,M9,$Q$2:$Q$46,"Aprobada")&gt;0),OR(N9="",COUNTIF($F$2:$F$46,N9)=0,COUNTIFS($F$2:$F$46,N9,$Q$2:$Q$46,"Aprobada")&gt;0),OR(O9="",COUNTIF($F$2:$F$46,O9)=0,COUNTIFS($F$2:$F$46,O9,$Q$2:$Q$46,"Aprobada")&gt;0),OR(P9="",COUNTIF($F$2:$F$46,P9)=0,COUNTIFS($F$2:$F$46,P9,$Q$2:$Q$46,"Aprobada")&gt;0)),"Sí","No"),"")</f>
        <v/>
      </c>
      <c r="U9" s="9" t="str">
        <f aca="false">IF(Q9="Aprobada",TRIM(IF(NOT(OR(L9="",COUNTIF($F$2:$F$46,L9)=0,COUNTIFS($F$2:$F$46,L9,$Q$2:$Q$46,"Aprobada")&gt;0)),L9&amp;" ","")&amp;IF(NOT(OR(M9="",COUNTIF($F$2:$F$46,M9)=0,COUNTIFS($F$2:$F$46,M9,$Q$2:$Q$46,"Aprobada")&gt;0)),M9&amp;" ","")&amp;IF(NOT(OR(N9="",COUNTIF($F$2:$F$46,N9)=0,COUNTIFS($F$2:$F$46,N9,$Q$2:$Q$46,"Aprobada")&gt;0)),N9&amp;" ","")&amp;IF(NOT(OR(O9="",COUNTIF($F$2:$F$46,O9)=0,COUNTIFS($F$2:$F$46,O9,$Q$2:$Q$46,"Aprobada")&gt;0)),O9&amp;" ","")&amp;IF(NOT(OR(P9="",COUNTIF($F$2:$F$46,P9)=0,COUNTIFS($F$2:$F$46,P9,$Q$2:$Q$46,"Aprobada")&gt;0)),P9&amp;" ","")),IF(Q9="Cursada aprobada",TRIM(IF(NOT(OR(L9="",COUNTIF($F$2:$F$46,L9)=0,COUNTIFS($F$2:$F$46,L9,$Q$2:$Q$46,"Aprobada")&gt;0,AND(Resumen!$B$15="La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","")),""))</f>
        <v/>
      </c>
    </row>
    <row r="10" customFormat="false" ht="15" hidden="false" customHeight="false" outlineLevel="0" collapsed="false">
      <c r="A10" s="8" t="s">
        <v>58</v>
      </c>
      <c r="B10" s="8"/>
      <c r="C10" s="9" t="n">
        <v>2</v>
      </c>
      <c r="D10" s="9" t="n">
        <v>1</v>
      </c>
      <c r="E10" s="9" t="s">
        <v>63</v>
      </c>
      <c r="F10" s="9" t="n">
        <v>308</v>
      </c>
      <c r="G10" s="8" t="s">
        <v>75</v>
      </c>
      <c r="H10" s="9" t="s">
        <v>61</v>
      </c>
      <c r="I10" s="9" t="n">
        <v>6</v>
      </c>
      <c r="J10" s="9"/>
      <c r="K10" s="9" t="n">
        <v>96</v>
      </c>
      <c r="L10" s="9" t="n">
        <v>104</v>
      </c>
      <c r="M10" s="9"/>
      <c r="N10" s="9"/>
      <c r="O10" s="9"/>
      <c r="P10" s="9"/>
      <c r="Q10" s="10" t="s">
        <v>62</v>
      </c>
      <c r="R10" s="9" t="str">
        <f aca="false">IF(Q10="Aprobada","Ya aprobada",IF(Q10="Cursada aprobada","Ya cursada",IF(AND(OR(L10="",COUNTIF($F$2:$F$46,L10)=0,COUNTIFS($F$2:$F$46,L10,$Q$2:$Q$46,"Aprobada")&gt;0,AND(Resumen!$B$15="La cursada aprobada",COUNTIFS($F$2:$F$46,L10,$Q$2:$Q$46,"Cursada aprobada")&gt;0)),OR(M10="",COUNTIF($F$2:$F$46,M10)=0,COUNTIFS($F$2:$F$46,M10,$Q$2:$Q$46,"Aprobada")&gt;0,AND(Resumen!$B$15="La cursada aprobada",COUNTIFS($F$2:$F$46,M10,$Q$2:$Q$46,"Cursada aprobada")&gt;0)),OR(N10="",COUNTIF($F$2:$F$46,N10)=0,COUNTIFS($F$2:$F$46,N10,$Q$2:$Q$46,"Aprobada")&gt;0,AND(Resumen!$B$15="La cursada aprobada",COUNTIFS($F$2:$F$46,N10,$Q$2:$Q$46,"Cursada aprobada")&gt;0)),OR(O10="",COUNTIF($F$2:$F$46,O10)=0,COUNTIFS($F$2:$F$46,O10,$Q$2:$Q$46,"Aprobada")&gt;0,AND(Resumen!$B$15="La cursada aprobada",COUNTIFS($F$2:$F$46,O10,$Q$2:$Q$46,"Cursada aprobada")&gt;0)),OR(P10="",COUNTIF($F$2:$F$46,P10)=0,COUNTIFS($F$2:$F$46,P10,$Q$2:$Q$46,"Aprobada")&gt;0,AND(Resumen!$B$15="La cursada aprobada",COUNTIFS($F$2:$F$46,P10,$Q$2:$Q$46,"Cursada aprobada")&gt;0))),"Sí","No")))</f>
        <v>No</v>
      </c>
      <c r="S10" s="8" t="str">
        <f aca="false">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</f>
        <v>104</v>
      </c>
      <c r="T10" s="9" t="str">
        <f aca="false">IF(Q10="Cursada aprobada",IF(AND(OR(L10="",COUNTIF($F$2:$F$46,L10)=0,COUNTIFS($F$2:$F$46,L10,$Q$2:$Q$46,"Aprobada")&gt;0),OR(M10="",COUNTIF($F$2:$F$46,M10)=0,COUNTIFS($F$2:$F$46,M10,$Q$2:$Q$46,"Aprobada")&gt;0),OR(N10="",COUNTIF($F$2:$F$46,N10)=0,COUNTIFS($F$2:$F$46,N10,$Q$2:$Q$46,"Aprobada")&gt;0),OR(O10="",COUNTIF($F$2:$F$46,O10)=0,COUNTIFS($F$2:$F$46,O10,$Q$2:$Q$46,"Aprobada")&gt;0),OR(P10="",COUNTIF($F$2:$F$46,P10)=0,COUNTIFS($F$2:$F$46,P10,$Q$2:$Q$46,"Aprobada")&gt;0)),"Sí","No"),"")</f>
        <v/>
      </c>
      <c r="U10" s="9" t="str">
        <f aca="false">IF(Q10="Aprobada",TRIM(IF(NOT(OR(L10="",COUNTIF($F$2:$F$46,L10)=0,COUNTIFS($F$2:$F$46,L10,$Q$2:$Q$46,"Aprobada")&gt;0)),L10&amp;" ","")&amp;IF(NOT(OR(M10="",COUNTIF($F$2:$F$46,M10)=0,COUNTIFS($F$2:$F$46,M10,$Q$2:$Q$46,"Aprobada")&gt;0)),M10&amp;" ","")&amp;IF(NOT(OR(N10="",COUNTIF($F$2:$F$46,N10)=0,COUNTIFS($F$2:$F$46,N10,$Q$2:$Q$46,"Aprobada")&gt;0)),N10&amp;" ","")&amp;IF(NOT(OR(O10="",COUNTIF($F$2:$F$46,O10)=0,COUNTIFS($F$2:$F$46,O10,$Q$2:$Q$46,"Aprobada")&gt;0)),O10&amp;" ","")&amp;IF(NOT(OR(P10="",COUNTIF($F$2:$F$46,P10)=0,COUNTIFS($F$2:$F$46,P10,$Q$2:$Q$46,"Aprobada")&gt;0)),P10&amp;" ","")),IF(Q10="Cursada aprobada",TRIM(IF(NOT(OR(L10="",COUNTIF($F$2:$F$46,L10)=0,COUNTIFS($F$2:$F$46,L10,$Q$2:$Q$46,"Aprobada")&gt;0,AND(Resumen!$B$15="La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","")),""))</f>
        <v/>
      </c>
    </row>
    <row r="11" customFormat="false" ht="15" hidden="false" customHeight="false" outlineLevel="0" collapsed="false">
      <c r="A11" s="8" t="s">
        <v>58</v>
      </c>
      <c r="B11" s="8"/>
      <c r="C11" s="9" t="n">
        <v>2</v>
      </c>
      <c r="D11" s="9" t="n">
        <v>1</v>
      </c>
      <c r="E11" s="9" t="s">
        <v>69</v>
      </c>
      <c r="F11" s="9" t="n">
        <v>280</v>
      </c>
      <c r="G11" s="8" t="s">
        <v>76</v>
      </c>
      <c r="H11" s="9" t="s">
        <v>71</v>
      </c>
      <c r="I11" s="9" t="n">
        <v>4</v>
      </c>
      <c r="J11" s="9"/>
      <c r="K11" s="9" t="n">
        <v>64</v>
      </c>
      <c r="L11" s="9" t="n">
        <v>180</v>
      </c>
      <c r="M11" s="9"/>
      <c r="N11" s="9"/>
      <c r="O11" s="9"/>
      <c r="P11" s="9"/>
      <c r="Q11" s="10" t="s">
        <v>62</v>
      </c>
      <c r="R11" s="9" t="str">
        <f aca="false">IF(Q11="Aprobada","Ya aprobada",IF(Q11="Cursada aprobada","Ya cursada",IF(AND(OR(L11="",COUNTIF($F$2:$F$46,L11)=0,COUNTIFS($F$2:$F$46,L11,$Q$2:$Q$46,"Aprobada")&gt;0,AND(Resumen!$B$15="La cursada aprobada",COUNTIFS($F$2:$F$46,L11,$Q$2:$Q$46,"Cursada aprobada")&gt;0)),OR(M11="",COUNTIF($F$2:$F$46,M11)=0,COUNTIFS($F$2:$F$46,M11,$Q$2:$Q$46,"Aprobada")&gt;0,AND(Resumen!$B$15="La cursada aprobada",COUNTIFS($F$2:$F$46,M11,$Q$2:$Q$46,"Cursada aprobada")&gt;0)),OR(N11="",COUNTIF($F$2:$F$46,N11)=0,COUNTIFS($F$2:$F$46,N11,$Q$2:$Q$46,"Aprobada")&gt;0,AND(Resumen!$B$15="La cursada aprobada",COUNTIFS($F$2:$F$46,N11,$Q$2:$Q$46,"Cursada aprobada")&gt;0)),OR(O11="",COUNTIF($F$2:$F$46,O11)=0,COUNTIFS($F$2:$F$46,O11,$Q$2:$Q$46,"Aprobada")&gt;0,AND(Resumen!$B$15="La cursada aprobada",COUNTIFS($F$2:$F$46,O11,$Q$2:$Q$46,"Cursada aprobada")&gt;0)),OR(P11="",COUNTIF($F$2:$F$46,P11)=0,COUNTIFS($F$2:$F$46,P11,$Q$2:$Q$46,"Aprobada")&gt;0,AND(Resumen!$B$15="La cursada aprobada",COUNTIFS($F$2:$F$46,P11,$Q$2:$Q$46,"Cursada aprobada")&gt;0))),"Sí","No")))</f>
        <v>No</v>
      </c>
      <c r="S11" s="8" t="str">
        <f aca="false">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</f>
        <v>180</v>
      </c>
      <c r="T11" s="9" t="str">
        <f aca="false">IF(Q11="Cursada aprobada",IF(AND(OR(L11="",COUNTIF($F$2:$F$46,L11)=0,COUNTIFS($F$2:$F$46,L11,$Q$2:$Q$46,"Aprobada")&gt;0),OR(M11="",COUNTIF($F$2:$F$46,M11)=0,COUNTIFS($F$2:$F$46,M11,$Q$2:$Q$46,"Aprobada")&gt;0),OR(N11="",COUNTIF($F$2:$F$46,N11)=0,COUNTIFS($F$2:$F$46,N11,$Q$2:$Q$46,"Aprobada")&gt;0),OR(O11="",COUNTIF($F$2:$F$46,O11)=0,COUNTIFS($F$2:$F$46,O11,$Q$2:$Q$46,"Aprobada")&gt;0),OR(P11="",COUNTIF($F$2:$F$46,P11)=0,COUNTIFS($F$2:$F$46,P11,$Q$2:$Q$46,"Aprobada")&gt;0)),"Sí","No"),"")</f>
        <v/>
      </c>
      <c r="U11" s="9" t="str">
        <f aca="false">IF(Q11="Aprobada",TRIM(IF(NOT(OR(L11="",COUNTIF($F$2:$F$46,L11)=0,COUNTIFS($F$2:$F$46,L11,$Q$2:$Q$46,"Aprobada")&gt;0)),L11&amp;" ","")&amp;IF(NOT(OR(M11="",COUNTIF($F$2:$F$46,M11)=0,COUNTIFS($F$2:$F$46,M11,$Q$2:$Q$46,"Aprobada")&gt;0)),M11&amp;" ","")&amp;IF(NOT(OR(N11="",COUNTIF($F$2:$F$46,N11)=0,COUNTIFS($F$2:$F$46,N11,$Q$2:$Q$46,"Aprobada")&gt;0)),N11&amp;" ","")&amp;IF(NOT(OR(O11="",COUNTIF($F$2:$F$46,O11)=0,COUNTIFS($F$2:$F$46,O11,$Q$2:$Q$46,"Aprobada")&gt;0)),O11&amp;" ","")&amp;IF(NOT(OR(P11="",COUNTIF($F$2:$F$46,P11)=0,COUNTIFS($F$2:$F$46,P11,$Q$2:$Q$46,"Aprobada")&gt;0)),P11&amp;" ","")),IF(Q11="Cursada aprobada",TRIM(IF(NOT(OR(L11="",COUNTIF($F$2:$F$46,L11)=0,COUNTIFS($F$2:$F$46,L11,$Q$2:$Q$46,"Aprobada")&gt;0,AND(Resumen!$B$15="La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","")),""))</f>
        <v/>
      </c>
    </row>
    <row r="12" customFormat="false" ht="15" hidden="false" customHeight="false" outlineLevel="0" collapsed="false">
      <c r="A12" s="8" t="s">
        <v>58</v>
      </c>
      <c r="B12" s="8"/>
      <c r="C12" s="9" t="n">
        <v>2</v>
      </c>
      <c r="D12" s="9" t="n">
        <v>1</v>
      </c>
      <c r="E12" s="9" t="s">
        <v>77</v>
      </c>
      <c r="F12" s="9" t="n">
        <v>202</v>
      </c>
      <c r="G12" s="8" t="s">
        <v>78</v>
      </c>
      <c r="H12" s="9" t="s">
        <v>71</v>
      </c>
      <c r="I12" s="9" t="n">
        <v>4</v>
      </c>
      <c r="J12" s="9" t="n">
        <v>32</v>
      </c>
      <c r="K12" s="9"/>
      <c r="L12" s="9"/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cursada",IF(AND(OR(L12="",COUNTIF($F$2:$F$46,L12)=0,COUNTIFS($F$2:$F$46,L12,$Q$2:$Q$46,"Aprobada")&gt;0,AND(Resumen!$B$15="La cursada aprobada",COUNTIFS($F$2:$F$46,L12,$Q$2:$Q$46,"Cursada aprobada")&gt;0)),OR(M12="",COUNTIF($F$2:$F$46,M12)=0,COUNTIFS($F$2:$F$46,M12,$Q$2:$Q$46,"Aprobada")&gt;0,AND(Resumen!$B$15="La cursada aprobada",COUNTIFS($F$2:$F$46,M12,$Q$2:$Q$46,"Cursada aprobada")&gt;0)),OR(N12="",COUNTIF($F$2:$F$46,N12)=0,COUNTIFS($F$2:$F$46,N12,$Q$2:$Q$46,"Aprobada")&gt;0,AND(Resumen!$B$15="La cursada aprobada",COUNTIFS($F$2:$F$46,N12,$Q$2:$Q$46,"Cursada aprobada")&gt;0)),OR(O12="",COUNTIF($F$2:$F$46,O12)=0,COUNTIFS($F$2:$F$46,O12,$Q$2:$Q$46,"Aprobada")&gt;0,AND(Resumen!$B$15="La cursada aprobada",COUNTIFS($F$2:$F$46,O12,$Q$2:$Q$46,"Cursada aprobada")&gt;0)),OR(P12="",COUNTIF($F$2:$F$46,P12)=0,COUNTIFS($F$2:$F$46,P12,$Q$2:$Q$46,"Aprobada")&gt;0,AND(Resumen!$B$15="La cursada aprobada",COUNTIFS($F$2:$F$46,P12,$Q$2:$Q$46,"Cursada aprobada")&gt;0))),"Sí","No")))</f>
        <v>Sí</v>
      </c>
      <c r="S12" s="8" t="str">
        <f aca="false">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</f>
        <v/>
      </c>
      <c r="T12" s="9" t="str">
        <f aca="false">IF(Q12="Cursada aprobada",IF(AND(OR(L12="",COUNTIF($F$2:$F$46,L12)=0,COUNTIFS($F$2:$F$46,L12,$Q$2:$Q$46,"Aprobada")&gt;0),OR(M12="",COUNTIF($F$2:$F$46,M12)=0,COUNTIFS($F$2:$F$46,M12,$Q$2:$Q$46,"Aprobada")&gt;0),OR(N12="",COUNTIF($F$2:$F$46,N12)=0,COUNTIFS($F$2:$F$46,N12,$Q$2:$Q$46,"Aprobada")&gt;0),OR(O12="",COUNTIF($F$2:$F$46,O12)=0,COUNTIFS($F$2:$F$46,O12,$Q$2:$Q$46,"Aprobada")&gt;0),OR(P12="",COUNTIF($F$2:$F$46,P12)=0,COUNTIFS($F$2:$F$46,P12,$Q$2:$Q$46,"Aprobada")&gt;0)),"Sí","No"),"")</f>
        <v/>
      </c>
      <c r="U12" s="9" t="str">
        <f aca="false">IF(Q12="Aprobada",TRIM(IF(NOT(OR(L12="",COUNTIF($F$2:$F$46,L12)=0,COUNTIFS($F$2:$F$46,L12,$Q$2:$Q$46,"Aprobada")&gt;0)),L12&amp;" ","")&amp;IF(NOT(OR(M12="",COUNTIF($F$2:$F$46,M12)=0,COUNTIFS($F$2:$F$46,M12,$Q$2:$Q$46,"Aprobada")&gt;0)),M12&amp;" ","")&amp;IF(NOT(OR(N12="",COUNTIF($F$2:$F$46,N12)=0,COUNTIFS($F$2:$F$46,N12,$Q$2:$Q$46,"Aprobada")&gt;0)),N12&amp;" ","")&amp;IF(NOT(OR(O12="",COUNTIF($F$2:$F$46,O12)=0,COUNTIFS($F$2:$F$46,O12,$Q$2:$Q$46,"Aprobada")&gt;0)),O12&amp;" ","")&amp;IF(NOT(OR(P12="",COUNTIF($F$2:$F$46,P12)=0,COUNTIFS($F$2:$F$46,P12,$Q$2:$Q$46,"Aprobada")&gt;0)),P12&amp;" ","")),IF(Q12="Cursada aprobada",TRIM(IF(NOT(OR(L12="",COUNTIF($F$2:$F$46,L12)=0,COUNTIFS($F$2:$F$46,L12,$Q$2:$Q$46,"Aprobada")&gt;0,AND(Resumen!$B$15="La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","")),""))</f>
        <v/>
      </c>
    </row>
    <row r="13" customFormat="false" ht="15" hidden="false" customHeight="false" outlineLevel="0" collapsed="false">
      <c r="A13" s="8" t="s">
        <v>58</v>
      </c>
      <c r="B13" s="8"/>
      <c r="C13" s="9" t="n">
        <v>2</v>
      </c>
      <c r="D13" s="9" t="n">
        <v>1</v>
      </c>
      <c r="E13" s="9" t="s">
        <v>77</v>
      </c>
      <c r="F13" s="9" t="n">
        <v>307</v>
      </c>
      <c r="G13" s="8" t="s">
        <v>79</v>
      </c>
      <c r="H13" s="9" t="s">
        <v>71</v>
      </c>
      <c r="I13" s="9" t="n">
        <v>4</v>
      </c>
      <c r="J13" s="9" t="n">
        <v>32</v>
      </c>
      <c r="K13" s="9"/>
      <c r="L13" s="9"/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cursada",IF(AND(OR(L13="",COUNTIF($F$2:$F$46,L13)=0,COUNTIFS($F$2:$F$46,L13,$Q$2:$Q$46,"Aprobada")&gt;0,AND(Resumen!$B$15="La cursada aprobada",COUNTIFS($F$2:$F$46,L13,$Q$2:$Q$46,"Cursada aprobada")&gt;0)),OR(M13="",COUNTIF($F$2:$F$46,M13)=0,COUNTIFS($F$2:$F$46,M13,$Q$2:$Q$46,"Aprobada")&gt;0,AND(Resumen!$B$15="La cursada aprobada",COUNTIFS($F$2:$F$46,M13,$Q$2:$Q$46,"Cursada aprobada")&gt;0)),OR(N13="",COUNTIF($F$2:$F$46,N13)=0,COUNTIFS($F$2:$F$46,N13,$Q$2:$Q$46,"Aprobada")&gt;0,AND(Resumen!$B$15="La cursada aprobada",COUNTIFS($F$2:$F$46,N13,$Q$2:$Q$46,"Cursada aprobada")&gt;0)),OR(O13="",COUNTIF($F$2:$F$46,O13)=0,COUNTIFS($F$2:$F$46,O13,$Q$2:$Q$46,"Aprobada")&gt;0,AND(Resumen!$B$15="La cursada aprobada",COUNTIFS($F$2:$F$46,O13,$Q$2:$Q$46,"Cursada aprobada")&gt;0)),OR(P13="",COUNTIF($F$2:$F$46,P13)=0,COUNTIFS($F$2:$F$46,P13,$Q$2:$Q$46,"Aprobada")&gt;0,AND(Resumen!$B$15="La cursada aprobada",COUNTIFS($F$2:$F$46,P13,$Q$2:$Q$46,"Cursada aprobada")&gt;0))),"Sí","No")))</f>
        <v>Sí</v>
      </c>
      <c r="S13" s="8" t="str">
        <f aca="false">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</f>
        <v/>
      </c>
      <c r="T13" s="9" t="str">
        <f aca="false">IF(Q13="Cursada aprobada",IF(AND(OR(L13="",COUNTIF($F$2:$F$46,L13)=0,COUNTIFS($F$2:$F$46,L13,$Q$2:$Q$46,"Aprobada")&gt;0),OR(M13="",COUNTIF($F$2:$F$46,M13)=0,COUNTIFS($F$2:$F$46,M13,$Q$2:$Q$46,"Aprobada")&gt;0),OR(N13="",COUNTIF($F$2:$F$46,N13)=0,COUNTIFS($F$2:$F$46,N13,$Q$2:$Q$46,"Aprobada")&gt;0),OR(O13="",COUNTIF($F$2:$F$46,O13)=0,COUNTIFS($F$2:$F$46,O13,$Q$2:$Q$46,"Aprobada")&gt;0),OR(P13="",COUNTIF($F$2:$F$46,P13)=0,COUNTIFS($F$2:$F$46,P13,$Q$2:$Q$46,"Aprobada")&gt;0)),"Sí","No"),"")</f>
        <v/>
      </c>
      <c r="U13" s="9" t="str">
        <f aca="false">IF(Q13="Aprobada",TRIM(IF(NOT(OR(L13="",COUNTIF($F$2:$F$46,L13)=0,COUNTIFS($F$2:$F$46,L13,$Q$2:$Q$46,"Aprobada")&gt;0)),L13&amp;" ","")&amp;IF(NOT(OR(M13="",COUNTIF($F$2:$F$46,M13)=0,COUNTIFS($F$2:$F$46,M13,$Q$2:$Q$46,"Aprobada")&gt;0)),M13&amp;" ","")&amp;IF(NOT(OR(N13="",COUNTIF($F$2:$F$46,N13)=0,COUNTIFS($F$2:$F$46,N13,$Q$2:$Q$46,"Aprobada")&gt;0)),N13&amp;" ","")&amp;IF(NOT(OR(O13="",COUNTIF($F$2:$F$46,O13)=0,COUNTIFS($F$2:$F$46,O13,$Q$2:$Q$46,"Aprobada")&gt;0)),O13&amp;" ","")&amp;IF(NOT(OR(P13="",COUNTIF($F$2:$F$46,P13)=0,COUNTIFS($F$2:$F$46,P13,$Q$2:$Q$46,"Aprobada")&gt;0)),P13&amp;" ","")),IF(Q13="Cursada aprobada",TRIM(IF(NOT(OR(L13="",COUNTIF($F$2:$F$46,L13)=0,COUNTIFS($F$2:$F$46,L13,$Q$2:$Q$46,"Aprobada")&gt;0,AND(Resumen!$B$15="La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","")),""))</f>
        <v/>
      </c>
    </row>
    <row r="14" customFormat="false" ht="15" hidden="false" customHeight="false" outlineLevel="0" collapsed="false">
      <c r="A14" s="8" t="s">
        <v>58</v>
      </c>
      <c r="B14" s="8"/>
      <c r="C14" s="9" t="n">
        <v>2</v>
      </c>
      <c r="D14" s="9" t="n">
        <v>2</v>
      </c>
      <c r="E14" s="9" t="s">
        <v>67</v>
      </c>
      <c r="F14" s="9" t="n">
        <v>210</v>
      </c>
      <c r="G14" s="8" t="s">
        <v>80</v>
      </c>
      <c r="H14" s="9" t="s">
        <v>61</v>
      </c>
      <c r="I14" s="9" t="n">
        <v>6</v>
      </c>
      <c r="J14" s="9"/>
      <c r="K14" s="9" t="n">
        <v>96</v>
      </c>
      <c r="L14" s="9" t="n">
        <v>103</v>
      </c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cursada",IF(AND(OR(L14="",COUNTIF($F$2:$F$46,L14)=0,COUNTIFS($F$2:$F$46,L14,$Q$2:$Q$46,"Aprobada")&gt;0,AND(Resumen!$B$15="La cursada aprobada",COUNTIFS($F$2:$F$46,L14,$Q$2:$Q$46,"Cursada aprobada")&gt;0)),OR(M14="",COUNTIF($F$2:$F$46,M14)=0,COUNTIFS($F$2:$F$46,M14,$Q$2:$Q$46,"Aprobada")&gt;0,AND(Resumen!$B$15="La cursada aprobada",COUNTIFS($F$2:$F$46,M14,$Q$2:$Q$46,"Cursada aprobada")&gt;0)),OR(N14="",COUNTIF($F$2:$F$46,N14)=0,COUNTIFS($F$2:$F$46,N14,$Q$2:$Q$46,"Aprobada")&gt;0,AND(Resumen!$B$15="La cursada aprobada",COUNTIFS($F$2:$F$46,N14,$Q$2:$Q$46,"Cursada aprobada")&gt;0)),OR(O14="",COUNTIF($F$2:$F$46,O14)=0,COUNTIFS($F$2:$F$46,O14,$Q$2:$Q$46,"Aprobada")&gt;0,AND(Resumen!$B$15="La cursada aprobada",COUNTIFS($F$2:$F$46,O14,$Q$2:$Q$46,"Cursada aprobada")&gt;0)),OR(P14="",COUNTIF($F$2:$F$46,P14)=0,COUNTIFS($F$2:$F$46,P14,$Q$2:$Q$46,"Aprobada")&gt;0,AND(Resumen!$B$15="La cursada aprobada",COUNTIFS($F$2:$F$46,P14,$Q$2:$Q$46,"Cursada aprobada")&gt;0))),"Sí","No")))</f>
        <v>No</v>
      </c>
      <c r="S14" s="8" t="str">
        <f aca="false">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</f>
        <v>103</v>
      </c>
      <c r="T14" s="9" t="str">
        <f aca="false">IF(Q14="Cursada aprobada",IF(AND(OR(L14="",COUNTIF($F$2:$F$46,L14)=0,COUNTIFS($F$2:$F$46,L14,$Q$2:$Q$46,"Aprobada")&gt;0),OR(M14="",COUNTIF($F$2:$F$46,M14)=0,COUNTIFS($F$2:$F$46,M14,$Q$2:$Q$46,"Aprobada")&gt;0),OR(N14="",COUNTIF($F$2:$F$46,N14)=0,COUNTIFS($F$2:$F$46,N14,$Q$2:$Q$46,"Aprobada")&gt;0),OR(O14="",COUNTIF($F$2:$F$46,O14)=0,COUNTIFS($F$2:$F$46,O14,$Q$2:$Q$46,"Aprobada")&gt;0),OR(P14="",COUNTIF($F$2:$F$46,P14)=0,COUNTIFS($F$2:$F$46,P14,$Q$2:$Q$46,"Aprobada")&gt;0)),"Sí","No"),"")</f>
        <v/>
      </c>
      <c r="U14" s="9" t="str">
        <f aca="false">IF(Q14="Aprobada",TRIM(IF(NOT(OR(L14="",COUNTIF($F$2:$F$46,L14)=0,COUNTIFS($F$2:$F$46,L14,$Q$2:$Q$46,"Aprobada")&gt;0)),L14&amp;" ","")&amp;IF(NOT(OR(M14="",COUNTIF($F$2:$F$46,M14)=0,COUNTIFS($F$2:$F$46,M14,$Q$2:$Q$46,"Aprobada")&gt;0)),M14&amp;" ","")&amp;IF(NOT(OR(N14="",COUNTIF($F$2:$F$46,N14)=0,COUNTIFS($F$2:$F$46,N14,$Q$2:$Q$46,"Aprobada")&gt;0)),N14&amp;" ","")&amp;IF(NOT(OR(O14="",COUNTIF($F$2:$F$46,O14)=0,COUNTIFS($F$2:$F$46,O14,$Q$2:$Q$46,"Aprobada")&gt;0)),O14&amp;" ","")&amp;IF(NOT(OR(P14="",COUNTIF($F$2:$F$46,P14)=0,COUNTIFS($F$2:$F$46,P14,$Q$2:$Q$46,"Aprobada")&gt;0)),P14&amp;" ","")),IF(Q14="Cursada aprobada",TRIM(IF(NOT(OR(L14="",COUNTIF($F$2:$F$46,L14)=0,COUNTIFS($F$2:$F$46,L14,$Q$2:$Q$46,"Aprobada")&gt;0,AND(Resumen!$B$15="La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","")),""))</f>
        <v/>
      </c>
    </row>
    <row r="15" customFormat="false" ht="15" hidden="false" customHeight="false" outlineLevel="0" collapsed="false">
      <c r="A15" s="8" t="s">
        <v>58</v>
      </c>
      <c r="B15" s="8"/>
      <c r="C15" s="9" t="n">
        <v>2</v>
      </c>
      <c r="D15" s="9" t="n">
        <v>2</v>
      </c>
      <c r="E15" s="9" t="s">
        <v>59</v>
      </c>
      <c r="F15" s="9" t="n">
        <v>208</v>
      </c>
      <c r="G15" s="8" t="s">
        <v>81</v>
      </c>
      <c r="H15" s="9" t="s">
        <v>61</v>
      </c>
      <c r="I15" s="9" t="n">
        <v>6</v>
      </c>
      <c r="J15" s="9"/>
      <c r="K15" s="9" t="n">
        <v>96</v>
      </c>
      <c r="L15" s="9" t="n">
        <v>101</v>
      </c>
      <c r="M15" s="9" t="n">
        <v>209</v>
      </c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cursada",IF(AND(OR(L15="",COUNTIF($F$2:$F$46,L15)=0,COUNTIFS($F$2:$F$46,L15,$Q$2:$Q$46,"Aprobada")&gt;0,AND(Resumen!$B$15="La cursada aprobada",COUNTIFS($F$2:$F$46,L15,$Q$2:$Q$46,"Cursada aprobada")&gt;0)),OR(M15="",COUNTIF($F$2:$F$46,M15)=0,COUNTIFS($F$2:$F$46,M15,$Q$2:$Q$46,"Aprobada")&gt;0,AND(Resumen!$B$15="La cursada aprobada",COUNTIFS($F$2:$F$46,M15,$Q$2:$Q$46,"Cursada aprobada")&gt;0)),OR(N15="",COUNTIF($F$2:$F$46,N15)=0,COUNTIFS($F$2:$F$46,N15,$Q$2:$Q$46,"Aprobada")&gt;0,AND(Resumen!$B$15="La cursada aprobada",COUNTIFS($F$2:$F$46,N15,$Q$2:$Q$46,"Cursada aprobada")&gt;0)),OR(O15="",COUNTIF($F$2:$F$46,O15)=0,COUNTIFS($F$2:$F$46,O15,$Q$2:$Q$46,"Aprobada")&gt;0,AND(Resumen!$B$15="La cursada aprobada",COUNTIFS($F$2:$F$46,O15,$Q$2:$Q$46,"Cursada aprobada")&gt;0)),OR(P15="",COUNTIF($F$2:$F$46,P15)=0,COUNTIFS($F$2:$F$46,P15,$Q$2:$Q$46,"Aprobada")&gt;0,AND(Resumen!$B$15="La cursada aprobada",COUNTIFS($F$2:$F$46,P15,$Q$2:$Q$46,"Cursada aprobada")&gt;0))),"Sí","No")))</f>
        <v>No</v>
      </c>
      <c r="S15" s="8" t="str">
        <f aca="false">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</f>
        <v>101 209</v>
      </c>
      <c r="T15" s="9" t="str">
        <f aca="false">IF(Q15="Cursada aprobada",IF(AND(OR(L15="",COUNTIF($F$2:$F$46,L15)=0,COUNTIFS($F$2:$F$46,L15,$Q$2:$Q$46,"Aprobada")&gt;0),OR(M15="",COUNTIF($F$2:$F$46,M15)=0,COUNTIFS($F$2:$F$46,M15,$Q$2:$Q$46,"Aprobada")&gt;0),OR(N15="",COUNTIF($F$2:$F$46,N15)=0,COUNTIFS($F$2:$F$46,N15,$Q$2:$Q$46,"Aprobada")&gt;0),OR(O15="",COUNTIF($F$2:$F$46,O15)=0,COUNTIFS($F$2:$F$46,O15,$Q$2:$Q$46,"Aprobada")&gt;0),OR(P15="",COUNTIF($F$2:$F$46,P15)=0,COUNTIFS($F$2:$F$46,P15,$Q$2:$Q$46,"Aprobada")&gt;0)),"Sí","No"),"")</f>
        <v/>
      </c>
      <c r="U15" s="9" t="str">
        <f aca="false">IF(Q15="Aprobada",TRIM(IF(NOT(OR(L15="",COUNTIF($F$2:$F$46,L15)=0,COUNTIFS($F$2:$F$46,L15,$Q$2:$Q$46,"Aprobada")&gt;0)),L15&amp;" ","")&amp;IF(NOT(OR(M15="",COUNTIF($F$2:$F$46,M15)=0,COUNTIFS($F$2:$F$46,M15,$Q$2:$Q$46,"Aprobada")&gt;0)),M15&amp;" ","")&amp;IF(NOT(OR(N15="",COUNTIF($F$2:$F$46,N15)=0,COUNTIFS($F$2:$F$46,N15,$Q$2:$Q$46,"Aprobada")&gt;0)),N15&amp;" ","")&amp;IF(NOT(OR(O15="",COUNTIF($F$2:$F$46,O15)=0,COUNTIFS($F$2:$F$46,O15,$Q$2:$Q$46,"Aprobada")&gt;0)),O15&amp;" ","")&amp;IF(NOT(OR(P15="",COUNTIF($F$2:$F$46,P15)=0,COUNTIFS($F$2:$F$46,P15,$Q$2:$Q$46,"Aprobada")&gt;0)),P15&amp;" ","")),IF(Q15="Cursada aprobada",TRIM(IF(NOT(OR(L15="",COUNTIF($F$2:$F$46,L15)=0,COUNTIFS($F$2:$F$46,L15,$Q$2:$Q$46,"Aprobada")&gt;0,AND(Resumen!$B$15="La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","")),""))</f>
        <v/>
      </c>
    </row>
    <row r="16" customFormat="false" ht="15" hidden="false" customHeight="false" outlineLevel="0" collapsed="false">
      <c r="A16" s="8" t="s">
        <v>58</v>
      </c>
      <c r="B16" s="8"/>
      <c r="C16" s="9" t="n">
        <v>2</v>
      </c>
      <c r="D16" s="9" t="n">
        <v>2</v>
      </c>
      <c r="E16" s="9" t="s">
        <v>65</v>
      </c>
      <c r="F16" s="9" t="n">
        <v>250</v>
      </c>
      <c r="G16" s="8" t="s">
        <v>82</v>
      </c>
      <c r="H16" s="9" t="s">
        <v>61</v>
      </c>
      <c r="I16" s="9" t="n">
        <v>6</v>
      </c>
      <c r="J16" s="9"/>
      <c r="K16" s="9" t="n">
        <v>96</v>
      </c>
      <c r="L16" s="9" t="n">
        <v>209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cursada",IF(AND(OR(L16="",COUNTIF($F$2:$F$46,L16)=0,COUNTIFS($F$2:$F$46,L16,$Q$2:$Q$46,"Aprobada")&gt;0,AND(Resumen!$B$15="La cursada aprobada",COUNTIFS($F$2:$F$46,L16,$Q$2:$Q$46,"Cursada aprobada")&gt;0)),OR(M16="",COUNTIF($F$2:$F$46,M16)=0,COUNTIFS($F$2:$F$46,M16,$Q$2:$Q$46,"Aprobada")&gt;0,AND(Resumen!$B$15="La cursada aprobada",COUNTIFS($F$2:$F$46,M16,$Q$2:$Q$46,"Cursada aprobada")&gt;0)),OR(N16="",COUNTIF($F$2:$F$46,N16)=0,COUNTIFS($F$2:$F$46,N16,$Q$2:$Q$46,"Aprobada")&gt;0,AND(Resumen!$B$15="La cursada aprobada",COUNTIFS($F$2:$F$46,N16,$Q$2:$Q$46,"Cursada aprobada")&gt;0)),OR(O16="",COUNTIF($F$2:$F$46,O16)=0,COUNTIFS($F$2:$F$46,O16,$Q$2:$Q$46,"Aprobada")&gt;0,AND(Resumen!$B$15="La cursada aprobada",COUNTIFS($F$2:$F$46,O16,$Q$2:$Q$46,"Cursada aprobada")&gt;0)),OR(P16="",COUNTIF($F$2:$F$46,P16)=0,COUNTIFS($F$2:$F$46,P16,$Q$2:$Q$46,"Aprobada")&gt;0,AND(Resumen!$B$15="La cursada aprobada",COUNTIFS($F$2:$F$46,P16,$Q$2:$Q$46,"Cursada aprobada")&gt;0))),"Sí","No")))</f>
        <v>No</v>
      </c>
      <c r="S16" s="8" t="str">
        <f aca="false">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</f>
        <v>209</v>
      </c>
      <c r="T16" s="9" t="str">
        <f aca="false">IF(Q16="Cursada aprobada",IF(AND(OR(L16="",COUNTIF($F$2:$F$46,L16)=0,COUNTIFS($F$2:$F$46,L16,$Q$2:$Q$46,"Aprobada")&gt;0),OR(M16="",COUNTIF($F$2:$F$46,M16)=0,COUNTIFS($F$2:$F$46,M16,$Q$2:$Q$46,"Aprobada")&gt;0),OR(N16="",COUNTIF($F$2:$F$46,N16)=0,COUNTIFS($F$2:$F$46,N16,$Q$2:$Q$46,"Aprobada")&gt;0),OR(O16="",COUNTIF($F$2:$F$46,O16)=0,COUNTIFS($F$2:$F$46,O16,$Q$2:$Q$46,"Aprobada")&gt;0),OR(P16="",COUNTIF($F$2:$F$46,P16)=0,COUNTIFS($F$2:$F$46,P16,$Q$2:$Q$46,"Aprobada")&gt;0)),"Sí","No"),"")</f>
        <v/>
      </c>
      <c r="U16" s="9" t="str">
        <f aca="false">IF(Q16="Aprobada",TRIM(IF(NOT(OR(L16="",COUNTIF($F$2:$F$46,L16)=0,COUNTIFS($F$2:$F$46,L16,$Q$2:$Q$46,"Aprobada")&gt;0)),L16&amp;" ","")&amp;IF(NOT(OR(M16="",COUNTIF($F$2:$F$46,M16)=0,COUNTIFS($F$2:$F$46,M16,$Q$2:$Q$46,"Aprobada")&gt;0)),M16&amp;" ","")&amp;IF(NOT(OR(N16="",COUNTIF($F$2:$F$46,N16)=0,COUNTIFS($F$2:$F$46,N16,$Q$2:$Q$46,"Aprobada")&gt;0)),N16&amp;" ","")&amp;IF(NOT(OR(O16="",COUNTIF($F$2:$F$46,O16)=0,COUNTIFS($F$2:$F$46,O16,$Q$2:$Q$46,"Aprobada")&gt;0)),O16&amp;" ","")&amp;IF(NOT(OR(P16="",COUNTIF($F$2:$F$46,P16)=0,COUNTIFS($F$2:$F$46,P16,$Q$2:$Q$46,"Aprobada")&gt;0)),P16&amp;" ","")),IF(Q16="Cursada aprobada",TRIM(IF(NOT(OR(L16="",COUNTIF($F$2:$F$46,L16)=0,COUNTIFS($F$2:$F$46,L16,$Q$2:$Q$46,"Aprobada")&gt;0,AND(Resumen!$B$15="La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","")),""))</f>
        <v/>
      </c>
    </row>
    <row r="17" customFormat="false" ht="15" hidden="false" customHeight="false" outlineLevel="0" collapsed="false">
      <c r="A17" s="8" t="s">
        <v>83</v>
      </c>
      <c r="B17" s="8"/>
      <c r="C17" s="9" t="n">
        <v>3</v>
      </c>
      <c r="D17" s="9" t="n">
        <v>1</v>
      </c>
      <c r="E17" s="9" t="s">
        <v>67</v>
      </c>
      <c r="F17" s="9" t="n">
        <v>402</v>
      </c>
      <c r="G17" s="8" t="s">
        <v>84</v>
      </c>
      <c r="H17" s="9" t="s">
        <v>61</v>
      </c>
      <c r="I17" s="9" t="n">
        <v>5</v>
      </c>
      <c r="J17" s="9"/>
      <c r="K17" s="9" t="n">
        <v>80</v>
      </c>
      <c r="L17" s="9" t="n">
        <v>210</v>
      </c>
      <c r="M17" s="9"/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cursada",IF(AND(OR(L17="",COUNTIF($F$2:$F$46,L17)=0,COUNTIFS($F$2:$F$46,L17,$Q$2:$Q$46,"Aprobada")&gt;0,AND(Resumen!$B$15="La cursada aprobada",COUNTIFS($F$2:$F$46,L17,$Q$2:$Q$46,"Cursada aprobada")&gt;0)),OR(M17="",COUNTIF($F$2:$F$46,M17)=0,COUNTIFS($F$2:$F$46,M17,$Q$2:$Q$46,"Aprobada")&gt;0,AND(Resumen!$B$15="La cursada aprobada",COUNTIFS($F$2:$F$46,M17,$Q$2:$Q$46,"Cursada aprobada")&gt;0)),OR(N17="",COUNTIF($F$2:$F$46,N17)=0,COUNTIFS($F$2:$F$46,N17,$Q$2:$Q$46,"Aprobada")&gt;0,AND(Resumen!$B$15="La cursada aprobada",COUNTIFS($F$2:$F$46,N17,$Q$2:$Q$46,"Cursada aprobada")&gt;0)),OR(O17="",COUNTIF($F$2:$F$46,O17)=0,COUNTIFS($F$2:$F$46,O17,$Q$2:$Q$46,"Aprobada")&gt;0,AND(Resumen!$B$15="La cursada aprobada",COUNTIFS($F$2:$F$46,O17,$Q$2:$Q$46,"Cursada aprobada")&gt;0)),OR(P17="",COUNTIF($F$2:$F$46,P17)=0,COUNTIFS($F$2:$F$46,P17,$Q$2:$Q$46,"Aprobada")&gt;0,AND(Resumen!$B$15="La cursada aprobada",COUNTIFS($F$2:$F$46,P17,$Q$2:$Q$46,"Cursada aprobada")&gt;0))),"Sí","No")))</f>
        <v>No</v>
      </c>
      <c r="S17" s="8" t="str">
        <f aca="false">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</f>
        <v>210</v>
      </c>
      <c r="T17" s="9" t="str">
        <f aca="false">IF(Q17="Cursada aprobada",IF(AND(OR(L17="",COUNTIF($F$2:$F$46,L17)=0,COUNTIFS($F$2:$F$46,L17,$Q$2:$Q$46,"Aprobada")&gt;0),OR(M17="",COUNTIF($F$2:$F$46,M17)=0,COUNTIFS($F$2:$F$46,M17,$Q$2:$Q$46,"Aprobada")&gt;0),OR(N17="",COUNTIF($F$2:$F$46,N17)=0,COUNTIFS($F$2:$F$46,N17,$Q$2:$Q$46,"Aprobada")&gt;0),OR(O17="",COUNTIF($F$2:$F$46,O17)=0,COUNTIFS($F$2:$F$46,O17,$Q$2:$Q$46,"Aprobada")&gt;0),OR(P17="",COUNTIF($F$2:$F$46,P17)=0,COUNTIFS($F$2:$F$46,P17,$Q$2:$Q$46,"Aprobada")&gt;0)),"Sí","No"),"")</f>
        <v/>
      </c>
      <c r="U17" s="9" t="str">
        <f aca="false">IF(Q17="Aprobada",TRIM(IF(NOT(OR(L17="",COUNTIF($F$2:$F$46,L17)=0,COUNTIFS($F$2:$F$46,L17,$Q$2:$Q$46,"Aprobada")&gt;0)),L17&amp;" ","")&amp;IF(NOT(OR(M17="",COUNTIF($F$2:$F$46,M17)=0,COUNTIFS($F$2:$F$46,M17,$Q$2:$Q$46,"Aprobada")&gt;0)),M17&amp;" ","")&amp;IF(NOT(OR(N17="",COUNTIF($F$2:$F$46,N17)=0,COUNTIFS($F$2:$F$46,N17,$Q$2:$Q$46,"Aprobada")&gt;0)),N17&amp;" ","")&amp;IF(NOT(OR(O17="",COUNTIF($F$2:$F$46,O17)=0,COUNTIFS($F$2:$F$46,O17,$Q$2:$Q$46,"Aprobada")&gt;0)),O17&amp;" ","")&amp;IF(NOT(OR(P17="",COUNTIF($F$2:$F$46,P17)=0,COUNTIFS($F$2:$F$46,P17,$Q$2:$Q$46,"Aprobada")&gt;0)),P17&amp;" ","")),IF(Q17="Cursada aprobada",TRIM(IF(NOT(OR(L17="",COUNTIF($F$2:$F$46,L17)=0,COUNTIFS($F$2:$F$46,L17,$Q$2:$Q$46,"Aprobada")&gt;0,AND(Resumen!$B$15="La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","")),""))</f>
        <v/>
      </c>
    </row>
    <row r="18" customFormat="false" ht="15" hidden="false" customHeight="false" outlineLevel="0" collapsed="false">
      <c r="A18" s="8" t="s">
        <v>83</v>
      </c>
      <c r="B18" s="8"/>
      <c r="C18" s="9" t="n">
        <v>3</v>
      </c>
      <c r="D18" s="9" t="n">
        <v>1</v>
      </c>
      <c r="E18" s="9" t="s">
        <v>63</v>
      </c>
      <c r="F18" s="9" t="n">
        <v>330</v>
      </c>
      <c r="G18" s="8" t="s">
        <v>85</v>
      </c>
      <c r="H18" s="9" t="s">
        <v>61</v>
      </c>
      <c r="I18" s="9" t="n">
        <v>6</v>
      </c>
      <c r="J18" s="9"/>
      <c r="K18" s="9" t="n">
        <v>96</v>
      </c>
      <c r="L18" s="9" t="n">
        <v>103</v>
      </c>
      <c r="M18" s="9" t="n">
        <v>308</v>
      </c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cursada",IF(AND(OR(L18="",COUNTIF($F$2:$F$46,L18)=0,COUNTIFS($F$2:$F$46,L18,$Q$2:$Q$46,"Aprobada")&gt;0,AND(Resumen!$B$15="La cursada aprobada",COUNTIFS($F$2:$F$46,L18,$Q$2:$Q$46,"Cursada aprobada")&gt;0)),OR(M18="",COUNTIF($F$2:$F$46,M18)=0,COUNTIFS($F$2:$F$46,M18,$Q$2:$Q$46,"Aprobada")&gt;0,AND(Resumen!$B$15="La cursada aprobada",COUNTIFS($F$2:$F$46,M18,$Q$2:$Q$46,"Cursada aprobada")&gt;0)),OR(N18="",COUNTIF($F$2:$F$46,N18)=0,COUNTIFS($F$2:$F$46,N18,$Q$2:$Q$46,"Aprobada")&gt;0,AND(Resumen!$B$15="La cursada aprobada",COUNTIFS($F$2:$F$46,N18,$Q$2:$Q$46,"Cursada aprobada")&gt;0)),OR(O18="",COUNTIF($F$2:$F$46,O18)=0,COUNTIFS($F$2:$F$46,O18,$Q$2:$Q$46,"Aprobada")&gt;0,AND(Resumen!$B$15="La cursada aprobada",COUNTIFS($F$2:$F$46,O18,$Q$2:$Q$46,"Cursada aprobada")&gt;0)),OR(P18="",COUNTIF($F$2:$F$46,P18)=0,COUNTIFS($F$2:$F$46,P18,$Q$2:$Q$46,"Aprobada")&gt;0,AND(Resumen!$B$15="La cursada aprobada",COUNTIFS($F$2:$F$46,P18,$Q$2:$Q$46,"Cursada aprobada")&gt;0))),"Sí","No")))</f>
        <v>No</v>
      </c>
      <c r="S18" s="8" t="str">
        <f aca="false">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</f>
        <v>103 308</v>
      </c>
      <c r="T18" s="9" t="str">
        <f aca="false">IF(Q18="Cursada aprobada",IF(AND(OR(L18="",COUNTIF($F$2:$F$46,L18)=0,COUNTIFS($F$2:$F$46,L18,$Q$2:$Q$46,"Aprobada")&gt;0),OR(M18="",COUNTIF($F$2:$F$46,M18)=0,COUNTIFS($F$2:$F$46,M18,$Q$2:$Q$46,"Aprobada")&gt;0),OR(N18="",COUNTIF($F$2:$F$46,N18)=0,COUNTIFS($F$2:$F$46,N18,$Q$2:$Q$46,"Aprobada")&gt;0),OR(O18="",COUNTIF($F$2:$F$46,O18)=0,COUNTIFS($F$2:$F$46,O18,$Q$2:$Q$46,"Aprobada")&gt;0),OR(P18="",COUNTIF($F$2:$F$46,P18)=0,COUNTIFS($F$2:$F$46,P18,$Q$2:$Q$46,"Aprobada")&gt;0)),"Sí","No"),"")</f>
        <v/>
      </c>
      <c r="U18" s="9" t="str">
        <f aca="false">IF(Q18="Aprobada",TRIM(IF(NOT(OR(L18="",COUNTIF($F$2:$F$46,L18)=0,COUNTIFS($F$2:$F$46,L18,$Q$2:$Q$46,"Aprobada")&gt;0)),L18&amp;" ","")&amp;IF(NOT(OR(M18="",COUNTIF($F$2:$F$46,M18)=0,COUNTIFS($F$2:$F$46,M18,$Q$2:$Q$46,"Aprobada")&gt;0)),M18&amp;" ","")&amp;IF(NOT(OR(N18="",COUNTIF($F$2:$F$46,N18)=0,COUNTIFS($F$2:$F$46,N18,$Q$2:$Q$46,"Aprobada")&gt;0)),N18&amp;" ","")&amp;IF(NOT(OR(O18="",COUNTIF($F$2:$F$46,O18)=0,COUNTIFS($F$2:$F$46,O18,$Q$2:$Q$46,"Aprobada")&gt;0)),O18&amp;" ","")&amp;IF(NOT(OR(P18="",COUNTIF($F$2:$F$46,P18)=0,COUNTIFS($F$2:$F$46,P18,$Q$2:$Q$46,"Aprobada")&gt;0)),P18&amp;" ","")),IF(Q18="Cursada aprobada",TRIM(IF(NOT(OR(L18="",COUNTIF($F$2:$F$46,L18)=0,COUNTIFS($F$2:$F$46,L18,$Q$2:$Q$46,"Aprobada")&gt;0,AND(Resumen!$B$15="La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","")),""))</f>
        <v/>
      </c>
    </row>
    <row r="19" customFormat="false" ht="15" hidden="false" customHeight="false" outlineLevel="0" collapsed="false">
      <c r="A19" s="8" t="s">
        <v>83</v>
      </c>
      <c r="B19" s="8"/>
      <c r="C19" s="9" t="n">
        <v>3</v>
      </c>
      <c r="D19" s="9" t="n">
        <v>1</v>
      </c>
      <c r="E19" s="9" t="s">
        <v>65</v>
      </c>
      <c r="F19" s="9" t="n">
        <v>424</v>
      </c>
      <c r="G19" s="8" t="s">
        <v>86</v>
      </c>
      <c r="H19" s="9" t="s">
        <v>61</v>
      </c>
      <c r="I19" s="9" t="n">
        <v>5</v>
      </c>
      <c r="J19" s="9"/>
      <c r="K19" s="9" t="n">
        <v>80</v>
      </c>
      <c r="L19" s="9" t="n">
        <v>250</v>
      </c>
      <c r="M19" s="9"/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cursada",IF(AND(OR(L19="",COUNTIF($F$2:$F$46,L19)=0,COUNTIFS($F$2:$F$46,L19,$Q$2:$Q$46,"Aprobada")&gt;0,AND(Resumen!$B$15="La cursada aprobada",COUNTIFS($F$2:$F$46,L19,$Q$2:$Q$46,"Cursada aprobada")&gt;0)),OR(M19="",COUNTIF($F$2:$F$46,M19)=0,COUNTIFS($F$2:$F$46,M19,$Q$2:$Q$46,"Aprobada")&gt;0,AND(Resumen!$B$15="La cursada aprobada",COUNTIFS($F$2:$F$46,M19,$Q$2:$Q$46,"Cursada aprobada")&gt;0)),OR(N19="",COUNTIF($F$2:$F$46,N19)=0,COUNTIFS($F$2:$F$46,N19,$Q$2:$Q$46,"Aprobada")&gt;0,AND(Resumen!$B$15="La cursada aprobada",COUNTIFS($F$2:$F$46,N19,$Q$2:$Q$46,"Cursada aprobada")&gt;0)),OR(O19="",COUNTIF($F$2:$F$46,O19)=0,COUNTIFS($F$2:$F$46,O19,$Q$2:$Q$46,"Aprobada")&gt;0,AND(Resumen!$B$15="La cursada aprobada",COUNTIFS($F$2:$F$46,O19,$Q$2:$Q$46,"Cursada aprobada")&gt;0)),OR(P19="",COUNTIF($F$2:$F$46,P19)=0,COUNTIFS($F$2:$F$46,P19,$Q$2:$Q$46,"Aprobada")&gt;0,AND(Resumen!$B$15="La cursada aprobada",COUNTIFS($F$2:$F$46,P19,$Q$2:$Q$46,"Cursada aprobada")&gt;0))),"Sí","No")))</f>
        <v>No</v>
      </c>
      <c r="S19" s="8" t="str">
        <f aca="false">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</f>
        <v>250</v>
      </c>
      <c r="T19" s="9" t="str">
        <f aca="false">IF(Q19="Cursada aprobada",IF(AND(OR(L19="",COUNTIF($F$2:$F$46,L19)=0,COUNTIFS($F$2:$F$46,L19,$Q$2:$Q$46,"Aprobada")&gt;0),OR(M19="",COUNTIF($F$2:$F$46,M19)=0,COUNTIFS($F$2:$F$46,M19,$Q$2:$Q$46,"Aprobada")&gt;0),OR(N19="",COUNTIF($F$2:$F$46,N19)=0,COUNTIFS($F$2:$F$46,N19,$Q$2:$Q$46,"Aprobada")&gt;0),OR(O19="",COUNTIF($F$2:$F$46,O19)=0,COUNTIFS($F$2:$F$46,O19,$Q$2:$Q$46,"Aprobada")&gt;0),OR(P19="",COUNTIF($F$2:$F$46,P19)=0,COUNTIFS($F$2:$F$46,P19,$Q$2:$Q$46,"Aprobada")&gt;0)),"Sí","No"),"")</f>
        <v/>
      </c>
      <c r="U19" s="9" t="str">
        <f aca="false">IF(Q19="Aprobada",TRIM(IF(NOT(OR(L19="",COUNTIF($F$2:$F$46,L19)=0,COUNTIFS($F$2:$F$46,L19,$Q$2:$Q$46,"Aprobada")&gt;0)),L19&amp;" ","")&amp;IF(NOT(OR(M19="",COUNTIF($F$2:$F$46,M19)=0,COUNTIFS($F$2:$F$46,M19,$Q$2:$Q$46,"Aprobada")&gt;0)),M19&amp;" ","")&amp;IF(NOT(OR(N19="",COUNTIF($F$2:$F$46,N19)=0,COUNTIFS($F$2:$F$46,N19,$Q$2:$Q$46,"Aprobada")&gt;0)),N19&amp;" ","")&amp;IF(NOT(OR(O19="",COUNTIF($F$2:$F$46,O19)=0,COUNTIFS($F$2:$F$46,O19,$Q$2:$Q$46,"Aprobada")&gt;0)),O19&amp;" ","")&amp;IF(NOT(OR(P19="",COUNTIF($F$2:$F$46,P19)=0,COUNTIFS($F$2:$F$46,P19,$Q$2:$Q$46,"Aprobada")&gt;0)),P19&amp;" ","")),IF(Q19="Cursada aprobada",TRIM(IF(NOT(OR(L19="",COUNTIF($F$2:$F$46,L19)=0,COUNTIFS($F$2:$F$46,L19,$Q$2:$Q$46,"Aprobada")&gt;0,AND(Resumen!$B$15="La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","")),""))</f>
        <v/>
      </c>
    </row>
    <row r="20" customFormat="false" ht="15" hidden="false" customHeight="false" outlineLevel="0" collapsed="false">
      <c r="A20" s="8" t="s">
        <v>83</v>
      </c>
      <c r="B20" s="8"/>
      <c r="C20" s="9" t="n">
        <v>3</v>
      </c>
      <c r="D20" s="9" t="n">
        <v>1</v>
      </c>
      <c r="E20" s="9" t="s">
        <v>77</v>
      </c>
      <c r="F20" s="9" t="n">
        <v>340</v>
      </c>
      <c r="G20" s="8" t="s">
        <v>87</v>
      </c>
      <c r="H20" s="9" t="s">
        <v>71</v>
      </c>
      <c r="I20" s="9" t="n">
        <v>4</v>
      </c>
      <c r="J20" s="9"/>
      <c r="K20" s="9" t="n">
        <v>64</v>
      </c>
      <c r="L20" s="9" t="n">
        <v>202</v>
      </c>
      <c r="M20" s="9" t="n">
        <v>307</v>
      </c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cursada",IF(AND(OR(L20="",COUNTIF($F$2:$F$46,L20)=0,COUNTIFS($F$2:$F$46,L20,$Q$2:$Q$46,"Aprobada")&gt;0,AND(Resumen!$B$15="La cursada aprobada",COUNTIFS($F$2:$F$46,L20,$Q$2:$Q$46,"Cursada aprobada")&gt;0)),OR(M20="",COUNTIF($F$2:$F$46,M20)=0,COUNTIFS($F$2:$F$46,M20,$Q$2:$Q$46,"Aprobada")&gt;0,AND(Resumen!$B$15="La cursada aprobada",COUNTIFS($F$2:$F$46,M20,$Q$2:$Q$46,"Cursada aprobada")&gt;0)),OR(N20="",COUNTIF($F$2:$F$46,N20)=0,COUNTIFS($F$2:$F$46,N20,$Q$2:$Q$46,"Aprobada")&gt;0,AND(Resumen!$B$15="La cursada aprobada",COUNTIFS($F$2:$F$46,N20,$Q$2:$Q$46,"Cursada aprobada")&gt;0)),OR(O20="",COUNTIF($F$2:$F$46,O20)=0,COUNTIFS($F$2:$F$46,O20,$Q$2:$Q$46,"Aprobada")&gt;0,AND(Resumen!$B$15="La cursada aprobada",COUNTIFS($F$2:$F$46,O20,$Q$2:$Q$46,"Cursada aprobada")&gt;0)),OR(P20="",COUNTIF($F$2:$F$46,P20)=0,COUNTIFS($F$2:$F$46,P20,$Q$2:$Q$46,"Aprobada")&gt;0,AND(Resumen!$B$15="La cursada aprobada",COUNTIFS($F$2:$F$46,P20,$Q$2:$Q$46,"Cursada aprobada")&gt;0))),"Sí","No")))</f>
        <v>No</v>
      </c>
      <c r="S20" s="8" t="str">
        <f aca="false">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</f>
        <v>202 307</v>
      </c>
      <c r="T20" s="9" t="str">
        <f aca="false">IF(Q20="Cursada aprobada",IF(AND(OR(L20="",COUNTIF($F$2:$F$46,L20)=0,COUNTIFS($F$2:$F$46,L20,$Q$2:$Q$46,"Aprobada")&gt;0),OR(M20="",COUNTIF($F$2:$F$46,M20)=0,COUNTIFS($F$2:$F$46,M20,$Q$2:$Q$46,"Aprobada")&gt;0),OR(N20="",COUNTIF($F$2:$F$46,N20)=0,COUNTIFS($F$2:$F$46,N20,$Q$2:$Q$46,"Aprobada")&gt;0),OR(O20="",COUNTIF($F$2:$F$46,O20)=0,COUNTIFS($F$2:$F$46,O20,$Q$2:$Q$46,"Aprobada")&gt;0),OR(P20="",COUNTIF($F$2:$F$46,P20)=0,COUNTIFS($F$2:$F$46,P20,$Q$2:$Q$46,"Aprobada")&gt;0)),"Sí","No"),"")</f>
        <v/>
      </c>
      <c r="U20" s="9" t="str">
        <f aca="false">IF(Q20="Aprobada",TRIM(IF(NOT(OR(L20="",COUNTIF($F$2:$F$46,L20)=0,COUNTIFS($F$2:$F$46,L20,$Q$2:$Q$46,"Aprobada")&gt;0)),L20&amp;" ","")&amp;IF(NOT(OR(M20="",COUNTIF($F$2:$F$46,M20)=0,COUNTIFS($F$2:$F$46,M20,$Q$2:$Q$46,"Aprobada")&gt;0)),M20&amp;" ","")&amp;IF(NOT(OR(N20="",COUNTIF($F$2:$F$46,N20)=0,COUNTIFS($F$2:$F$46,N20,$Q$2:$Q$46,"Aprobada")&gt;0)),N20&amp;" ","")&amp;IF(NOT(OR(O20="",COUNTIF($F$2:$F$46,O20)=0,COUNTIFS($F$2:$F$46,O20,$Q$2:$Q$46,"Aprobada")&gt;0)),O20&amp;" ","")&amp;IF(NOT(OR(P20="",COUNTIF($F$2:$F$46,P20)=0,COUNTIFS($F$2:$F$46,P20,$Q$2:$Q$46,"Aprobada")&gt;0)),P20&amp;" ","")),IF(Q20="Cursada aprobada",TRIM(IF(NOT(OR(L20="",COUNTIF($F$2:$F$46,L20)=0,COUNTIFS($F$2:$F$46,L20,$Q$2:$Q$46,"Aprobada")&gt;0,AND(Resumen!$B$15="La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","")),""))</f>
        <v/>
      </c>
    </row>
    <row r="21" customFormat="false" ht="15" hidden="false" customHeight="false" outlineLevel="0" collapsed="false">
      <c r="A21" s="8" t="s">
        <v>83</v>
      </c>
      <c r="B21" s="8"/>
      <c r="C21" s="9" t="n">
        <v>3</v>
      </c>
      <c r="D21" s="9" t="n">
        <v>2</v>
      </c>
      <c r="E21" s="9" t="s">
        <v>67</v>
      </c>
      <c r="F21" s="9" t="n">
        <v>401</v>
      </c>
      <c r="G21" s="8" t="s">
        <v>88</v>
      </c>
      <c r="H21" s="9" t="s">
        <v>61</v>
      </c>
      <c r="I21" s="9" t="n">
        <v>6</v>
      </c>
      <c r="J21" s="9"/>
      <c r="K21" s="9" t="n">
        <v>96</v>
      </c>
      <c r="L21" s="9" t="n">
        <v>210</v>
      </c>
      <c r="M21" s="9"/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cursada",IF(AND(OR(L21="",COUNTIF($F$2:$F$46,L21)=0,COUNTIFS($F$2:$F$46,L21,$Q$2:$Q$46,"Aprobada")&gt;0,AND(Resumen!$B$15="La cursada aprobada",COUNTIFS($F$2:$F$46,L21,$Q$2:$Q$46,"Cursada aprobada")&gt;0)),OR(M21="",COUNTIF($F$2:$F$46,M21)=0,COUNTIFS($F$2:$F$46,M21,$Q$2:$Q$46,"Aprobada")&gt;0,AND(Resumen!$B$15="La cursada aprobada",COUNTIFS($F$2:$F$46,M21,$Q$2:$Q$46,"Cursada aprobada")&gt;0)),OR(N21="",COUNTIF($F$2:$F$46,N21)=0,COUNTIFS($F$2:$F$46,N21,$Q$2:$Q$46,"Aprobada")&gt;0,AND(Resumen!$B$15="La cursada aprobada",COUNTIFS($F$2:$F$46,N21,$Q$2:$Q$46,"Cursada aprobada")&gt;0)),OR(O21="",COUNTIF($F$2:$F$46,O21)=0,COUNTIFS($F$2:$F$46,O21,$Q$2:$Q$46,"Aprobada")&gt;0,AND(Resumen!$B$15="La cursada aprobada",COUNTIFS($F$2:$F$46,O21,$Q$2:$Q$46,"Cursada aprobada")&gt;0)),OR(P21="",COUNTIF($F$2:$F$46,P21)=0,COUNTIFS($F$2:$F$46,P21,$Q$2:$Q$46,"Aprobada")&gt;0,AND(Resumen!$B$15="La cursada aprobada",COUNTIFS($F$2:$F$46,P21,$Q$2:$Q$46,"Cursada aprobada")&gt;0))),"Sí","No")))</f>
        <v>No</v>
      </c>
      <c r="S21" s="8" t="str">
        <f aca="false">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</f>
        <v>210</v>
      </c>
      <c r="T21" s="9" t="str">
        <f aca="false">IF(Q21="Cursada aprobada",IF(AND(OR(L21="",COUNTIF($F$2:$F$46,L21)=0,COUNTIFS($F$2:$F$46,L21,$Q$2:$Q$46,"Aprobada")&gt;0),OR(M21="",COUNTIF($F$2:$F$46,M21)=0,COUNTIFS($F$2:$F$46,M21,$Q$2:$Q$46,"Aprobada")&gt;0),OR(N21="",COUNTIF($F$2:$F$46,N21)=0,COUNTIFS($F$2:$F$46,N21,$Q$2:$Q$46,"Aprobada")&gt;0),OR(O21="",COUNTIF($F$2:$F$46,O21)=0,COUNTIFS($F$2:$F$46,O21,$Q$2:$Q$46,"Aprobada")&gt;0),OR(P21="",COUNTIF($F$2:$F$46,P21)=0,COUNTIFS($F$2:$F$46,P21,$Q$2:$Q$46,"Aprobada")&gt;0)),"Sí","No"),"")</f>
        <v/>
      </c>
      <c r="U21" s="9" t="str">
        <f aca="false">IF(Q21="Aprobada",TRIM(IF(NOT(OR(L21="",COUNTIF($F$2:$F$46,L21)=0,COUNTIFS($F$2:$F$46,L21,$Q$2:$Q$46,"Aprobada")&gt;0)),L21&amp;" ","")&amp;IF(NOT(OR(M21="",COUNTIF($F$2:$F$46,M21)=0,COUNTIFS($F$2:$F$46,M21,$Q$2:$Q$46,"Aprobada")&gt;0)),M21&amp;" ","")&amp;IF(NOT(OR(N21="",COUNTIF($F$2:$F$46,N21)=0,COUNTIFS($F$2:$F$46,N21,$Q$2:$Q$46,"Aprobada")&gt;0)),N21&amp;" ","")&amp;IF(NOT(OR(O21="",COUNTIF($F$2:$F$46,O21)=0,COUNTIFS($F$2:$F$46,O21,$Q$2:$Q$46,"Aprobada")&gt;0)),O21&amp;" ","")&amp;IF(NOT(OR(P21="",COUNTIF($F$2:$F$46,P21)=0,COUNTIFS($F$2:$F$46,P21,$Q$2:$Q$46,"Aprobada")&gt;0)),P21&amp;" ","")),IF(Q21="Cursada aprobada",TRIM(IF(NOT(OR(L21="",COUNTIF($F$2:$F$46,L21)=0,COUNTIFS($F$2:$F$46,L21,$Q$2:$Q$46,"Aprobada")&gt;0,AND(Resumen!$B$15="La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","")),""))</f>
        <v/>
      </c>
    </row>
    <row r="22" customFormat="false" ht="15" hidden="false" customHeight="false" outlineLevel="0" collapsed="false">
      <c r="A22" s="8" t="s">
        <v>83</v>
      </c>
      <c r="B22" s="8"/>
      <c r="C22" s="9" t="n">
        <v>3</v>
      </c>
      <c r="D22" s="9" t="n">
        <v>2</v>
      </c>
      <c r="E22" s="9" t="s">
        <v>67</v>
      </c>
      <c r="F22" s="9" t="n">
        <v>349</v>
      </c>
      <c r="G22" s="8" t="s">
        <v>89</v>
      </c>
      <c r="H22" s="9" t="s">
        <v>61</v>
      </c>
      <c r="I22" s="9" t="n">
        <v>6</v>
      </c>
      <c r="J22" s="9"/>
      <c r="K22" s="9" t="n">
        <v>96</v>
      </c>
      <c r="L22" s="9" t="n">
        <v>202</v>
      </c>
      <c r="M22" s="9" t="n">
        <v>314</v>
      </c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cursada",IF(AND(OR(L22="",COUNTIF($F$2:$F$46,L22)=0,COUNTIFS($F$2:$F$46,L22,$Q$2:$Q$46,"Aprobada")&gt;0,AND(Resumen!$B$15="La cursada aprobada",COUNTIFS($F$2:$F$46,L22,$Q$2:$Q$46,"Cursada aprobada")&gt;0)),OR(M22="",COUNTIF($F$2:$F$46,M22)=0,COUNTIFS($F$2:$F$46,M22,$Q$2:$Q$46,"Aprobada")&gt;0,AND(Resumen!$B$15="La cursada aprobada",COUNTIFS($F$2:$F$46,M22,$Q$2:$Q$46,"Cursada aprobada")&gt;0)),OR(N22="",COUNTIF($F$2:$F$46,N22)=0,COUNTIFS($F$2:$F$46,N22,$Q$2:$Q$46,"Aprobada")&gt;0,AND(Resumen!$B$15="La cursada aprobada",COUNTIFS($F$2:$F$46,N22,$Q$2:$Q$46,"Cursada aprobada")&gt;0)),OR(O22="",COUNTIF($F$2:$F$46,O22)=0,COUNTIFS($F$2:$F$46,O22,$Q$2:$Q$46,"Aprobada")&gt;0,AND(Resumen!$B$15="La cursada aprobada",COUNTIFS($F$2:$F$46,O22,$Q$2:$Q$46,"Cursada aprobada")&gt;0)),OR(P22="",COUNTIF($F$2:$F$46,P22)=0,COUNTIFS($F$2:$F$46,P22,$Q$2:$Q$46,"Aprobada")&gt;0,AND(Resumen!$B$15="La cursada aprobada",COUNTIFS($F$2:$F$46,P22,$Q$2:$Q$46,"Cursada aprobada")&gt;0))),"Sí","No")))</f>
        <v>No</v>
      </c>
      <c r="S22" s="8" t="str">
        <f aca="false">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</f>
        <v>202 314</v>
      </c>
      <c r="T22" s="9" t="str">
        <f aca="false">IF(Q22="Cursada aprobada",IF(AND(OR(L22="",COUNTIF($F$2:$F$46,L22)=0,COUNTIFS($F$2:$F$46,L22,$Q$2:$Q$46,"Aprobada")&gt;0),OR(M22="",COUNTIF($F$2:$F$46,M22)=0,COUNTIFS($F$2:$F$46,M22,$Q$2:$Q$46,"Aprobada")&gt;0),OR(N22="",COUNTIF($F$2:$F$46,N22)=0,COUNTIFS($F$2:$F$46,N22,$Q$2:$Q$46,"Aprobada")&gt;0),OR(O22="",COUNTIF($F$2:$F$46,O22)=0,COUNTIFS($F$2:$F$46,O22,$Q$2:$Q$46,"Aprobada")&gt;0),OR(P22="",COUNTIF($F$2:$F$46,P22)=0,COUNTIFS($F$2:$F$46,P22,$Q$2:$Q$46,"Aprobada")&gt;0)),"Sí","No"),"")</f>
        <v/>
      </c>
      <c r="U22" s="9" t="str">
        <f aca="false">IF(Q22="Aprobada",TRIM(IF(NOT(OR(L22="",COUNTIF($F$2:$F$46,L22)=0,COUNTIFS($F$2:$F$46,L22,$Q$2:$Q$46,"Aprobada")&gt;0)),L22&amp;" ","")&amp;IF(NOT(OR(M22="",COUNTIF($F$2:$F$46,M22)=0,COUNTIFS($F$2:$F$46,M22,$Q$2:$Q$46,"Aprobada")&gt;0)),M22&amp;" ","")&amp;IF(NOT(OR(N22="",COUNTIF($F$2:$F$46,N22)=0,COUNTIFS($F$2:$F$46,N22,$Q$2:$Q$46,"Aprobada")&gt;0)),N22&amp;" ","")&amp;IF(NOT(OR(O22="",COUNTIF($F$2:$F$46,O22)=0,COUNTIFS($F$2:$F$46,O22,$Q$2:$Q$46,"Aprobada")&gt;0)),O22&amp;" ","")&amp;IF(NOT(OR(P22="",COUNTIF($F$2:$F$46,P22)=0,COUNTIFS($F$2:$F$46,P22,$Q$2:$Q$46,"Aprobada")&gt;0)),P22&amp;" ","")),IF(Q22="Cursada aprobada",TRIM(IF(NOT(OR(L22="",COUNTIF($F$2:$F$46,L22)=0,COUNTIFS($F$2:$F$46,L22,$Q$2:$Q$46,"Aprobada")&gt;0,AND(Resumen!$B$15="La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","")),""))</f>
        <v/>
      </c>
    </row>
    <row r="23" customFormat="false" ht="15" hidden="false" customHeight="false" outlineLevel="0" collapsed="false">
      <c r="A23" s="8" t="s">
        <v>83</v>
      </c>
      <c r="B23" s="8"/>
      <c r="C23" s="9" t="n">
        <v>3</v>
      </c>
      <c r="D23" s="9" t="n">
        <v>2</v>
      </c>
      <c r="E23" s="9" t="s">
        <v>77</v>
      </c>
      <c r="F23" s="9" t="n">
        <v>503</v>
      </c>
      <c r="G23" s="8" t="s">
        <v>90</v>
      </c>
      <c r="H23" s="9" t="s">
        <v>71</v>
      </c>
      <c r="I23" s="9" t="n">
        <v>4</v>
      </c>
      <c r="J23" s="9"/>
      <c r="K23" s="9" t="n">
        <v>64</v>
      </c>
      <c r="L23" s="9" t="n">
        <v>340</v>
      </c>
      <c r="M23" s="9"/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cursada",IF(AND(OR(L23="",COUNTIF($F$2:$F$46,L23)=0,COUNTIFS($F$2:$F$46,L23,$Q$2:$Q$46,"Aprobada")&gt;0,AND(Resumen!$B$15="La cursada aprobada",COUNTIFS($F$2:$F$46,L23,$Q$2:$Q$46,"Cursada aprobada")&gt;0)),OR(M23="",COUNTIF($F$2:$F$46,M23)=0,COUNTIFS($F$2:$F$46,M23,$Q$2:$Q$46,"Aprobada")&gt;0,AND(Resumen!$B$15="La cursada aprobada",COUNTIFS($F$2:$F$46,M23,$Q$2:$Q$46,"Cursada aprobada")&gt;0)),OR(N23="",COUNTIF($F$2:$F$46,N23)=0,COUNTIFS($F$2:$F$46,N23,$Q$2:$Q$46,"Aprobada")&gt;0,AND(Resumen!$B$15="La cursada aprobada",COUNTIFS($F$2:$F$46,N23,$Q$2:$Q$46,"Cursada aprobada")&gt;0)),OR(O23="",COUNTIF($F$2:$F$46,O23)=0,COUNTIFS($F$2:$F$46,O23,$Q$2:$Q$46,"Aprobada")&gt;0,AND(Resumen!$B$15="La cursada aprobada",COUNTIFS($F$2:$F$46,O23,$Q$2:$Q$46,"Cursada aprobada")&gt;0)),OR(P23="",COUNTIF($F$2:$F$46,P23)=0,COUNTIFS($F$2:$F$46,P23,$Q$2:$Q$46,"Aprobada")&gt;0,AND(Resumen!$B$15="La cursada aprobada",COUNTIFS($F$2:$F$46,P23,$Q$2:$Q$46,"Cursada aprobada")&gt;0))),"Sí","No")))</f>
        <v>No</v>
      </c>
      <c r="S23" s="8" t="str">
        <f aca="false">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</f>
        <v>340</v>
      </c>
      <c r="T23" s="9" t="str">
        <f aca="false">IF(Q23="Cursada aprobada",IF(AND(OR(L23="",COUNTIF($F$2:$F$46,L23)=0,COUNTIFS($F$2:$F$46,L23,$Q$2:$Q$46,"Aprobada")&gt;0),OR(M23="",COUNTIF($F$2:$F$46,M23)=0,COUNTIFS($F$2:$F$46,M23,$Q$2:$Q$46,"Aprobada")&gt;0),OR(N23="",COUNTIF($F$2:$F$46,N23)=0,COUNTIFS($F$2:$F$46,N23,$Q$2:$Q$46,"Aprobada")&gt;0),OR(O23="",COUNTIF($F$2:$F$46,O23)=0,COUNTIFS($F$2:$F$46,O23,$Q$2:$Q$46,"Aprobada")&gt;0),OR(P23="",COUNTIF($F$2:$F$46,P23)=0,COUNTIFS($F$2:$F$46,P23,$Q$2:$Q$46,"Aprobada")&gt;0)),"Sí","No"),"")</f>
        <v/>
      </c>
      <c r="U23" s="9" t="str">
        <f aca="false">IF(Q23="Aprobada",TRIM(IF(NOT(OR(L23="",COUNTIF($F$2:$F$46,L23)=0,COUNTIFS($F$2:$F$46,L23,$Q$2:$Q$46,"Aprobada")&gt;0)),L23&amp;" ","")&amp;IF(NOT(OR(M23="",COUNTIF($F$2:$F$46,M23)=0,COUNTIFS($F$2:$F$46,M23,$Q$2:$Q$46,"Aprobada")&gt;0)),M23&amp;" ","")&amp;IF(NOT(OR(N23="",COUNTIF($F$2:$F$46,N23)=0,COUNTIFS($F$2:$F$46,N23,$Q$2:$Q$46,"Aprobada")&gt;0)),N23&amp;" ","")&amp;IF(NOT(OR(O23="",COUNTIF($F$2:$F$46,O23)=0,COUNTIFS($F$2:$F$46,O23,$Q$2:$Q$46,"Aprobada")&gt;0)),O23&amp;" ","")&amp;IF(NOT(OR(P23="",COUNTIF($F$2:$F$46,P23)=0,COUNTIFS($F$2:$F$46,P23,$Q$2:$Q$46,"Aprobada")&gt;0)),P23&amp;" ","")),IF(Q23="Cursada aprobada",TRIM(IF(NOT(OR(L23="",COUNTIF($F$2:$F$46,L23)=0,COUNTIFS($F$2:$F$46,L23,$Q$2:$Q$46,"Aprobada")&gt;0,AND(Resumen!$B$15="La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","")),""))</f>
        <v/>
      </c>
    </row>
    <row r="24" customFormat="false" ht="15" hidden="false" customHeight="false" outlineLevel="0" collapsed="false">
      <c r="A24" s="8" t="s">
        <v>83</v>
      </c>
      <c r="B24" s="8"/>
      <c r="C24" s="9" t="n">
        <v>3</v>
      </c>
      <c r="D24" s="9" t="n">
        <v>2</v>
      </c>
      <c r="E24" s="9" t="s">
        <v>69</v>
      </c>
      <c r="F24" s="9" t="n">
        <v>201</v>
      </c>
      <c r="G24" s="8" t="s">
        <v>91</v>
      </c>
      <c r="H24" s="9" t="s">
        <v>92</v>
      </c>
      <c r="I24" s="9" t="n">
        <v>3</v>
      </c>
      <c r="J24" s="9"/>
      <c r="K24" s="9" t="n">
        <v>48</v>
      </c>
      <c r="L24" s="9" t="n">
        <v>250</v>
      </c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cursada",IF(AND(OR(L24="",COUNTIF($F$2:$F$46,L24)=0,COUNTIFS($F$2:$F$46,L24,$Q$2:$Q$46,"Aprobada")&gt;0,AND(Resumen!$B$15="La cursada aprobada",COUNTIFS($F$2:$F$46,L24,$Q$2:$Q$46,"Cursada aprobada")&gt;0)),OR(M24="",COUNTIF($F$2:$F$46,M24)=0,COUNTIFS($F$2:$F$46,M24,$Q$2:$Q$46,"Aprobada")&gt;0,AND(Resumen!$B$15="La cursada aprobada",COUNTIFS($F$2:$F$46,M24,$Q$2:$Q$46,"Cursada aprobada")&gt;0)),OR(N24="",COUNTIF($F$2:$F$46,N24)=0,COUNTIFS($F$2:$F$46,N24,$Q$2:$Q$46,"Aprobada")&gt;0,AND(Resumen!$B$15="La cursada aprobada",COUNTIFS($F$2:$F$46,N24,$Q$2:$Q$46,"Cursada aprobada")&gt;0)),OR(O24="",COUNTIF($F$2:$F$46,O24)=0,COUNTIFS($F$2:$F$46,O24,$Q$2:$Q$46,"Aprobada")&gt;0,AND(Resumen!$B$15="La cursada aprobada",COUNTIFS($F$2:$F$46,O24,$Q$2:$Q$46,"Cursada aprobada")&gt;0)),OR(P24="",COUNTIF($F$2:$F$46,P24)=0,COUNTIFS($F$2:$F$46,P24,$Q$2:$Q$46,"Aprobada")&gt;0,AND(Resumen!$B$15="La cursada aprobada",COUNTIFS($F$2:$F$46,P24,$Q$2:$Q$46,"Cursada aprobada")&gt;0))),"Sí","No")))</f>
        <v>No</v>
      </c>
      <c r="S24" s="8" t="str">
        <f aca="false">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</f>
        <v>250</v>
      </c>
      <c r="T24" s="9" t="str">
        <f aca="false">IF(Q24="Cursada aprobada",IF(AND(OR(L24="",COUNTIF($F$2:$F$46,L24)=0,COUNTIFS($F$2:$F$46,L24,$Q$2:$Q$46,"Aprobada")&gt;0),OR(M24="",COUNTIF($F$2:$F$46,M24)=0,COUNTIFS($F$2:$F$46,M24,$Q$2:$Q$46,"Aprobada")&gt;0),OR(N24="",COUNTIF($F$2:$F$46,N24)=0,COUNTIFS($F$2:$F$46,N24,$Q$2:$Q$46,"Aprobada")&gt;0),OR(O24="",COUNTIF($F$2:$F$46,O24)=0,COUNTIFS($F$2:$F$46,O24,$Q$2:$Q$46,"Aprobada")&gt;0),OR(P24="",COUNTIF($F$2:$F$46,P24)=0,COUNTIFS($F$2:$F$46,P24,$Q$2:$Q$46,"Aprobada")&gt;0)),"Sí","No"),"")</f>
        <v/>
      </c>
      <c r="U24" s="9" t="str">
        <f aca="false">IF(Q24="Aprobada",TRIM(IF(NOT(OR(L24="",COUNTIF($F$2:$F$46,L24)=0,COUNTIFS($F$2:$F$46,L24,$Q$2:$Q$46,"Aprobada")&gt;0)),L24&amp;" ","")&amp;IF(NOT(OR(M24="",COUNTIF($F$2:$F$46,M24)=0,COUNTIFS($F$2:$F$46,M24,$Q$2:$Q$46,"Aprobada")&gt;0)),M24&amp;" ","")&amp;IF(NOT(OR(N24="",COUNTIF($F$2:$F$46,N24)=0,COUNTIFS($F$2:$F$46,N24,$Q$2:$Q$46,"Aprobada")&gt;0)),N24&amp;" ","")&amp;IF(NOT(OR(O24="",COUNTIF($F$2:$F$46,O24)=0,COUNTIFS($F$2:$F$46,O24,$Q$2:$Q$46,"Aprobada")&gt;0)),O24&amp;" ","")&amp;IF(NOT(OR(P24="",COUNTIF($F$2:$F$46,P24)=0,COUNTIFS($F$2:$F$46,P24,$Q$2:$Q$46,"Aprobada")&gt;0)),P24&amp;" ","")),IF(Q24="Cursada aprobada",TRIM(IF(NOT(OR(L24="",COUNTIF($F$2:$F$46,L24)=0,COUNTIFS($F$2:$F$46,L24,$Q$2:$Q$46,"Aprobada")&gt;0,AND(Resumen!$B$15="La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","")),""))</f>
        <v/>
      </c>
    </row>
    <row r="25" customFormat="false" ht="15" hidden="false" customHeight="false" outlineLevel="0" collapsed="false">
      <c r="A25" s="8" t="s">
        <v>83</v>
      </c>
      <c r="B25" s="8"/>
      <c r="C25" s="9" t="n">
        <v>4</v>
      </c>
      <c r="D25" s="9" t="n">
        <v>1</v>
      </c>
      <c r="E25" s="9" t="s">
        <v>67</v>
      </c>
      <c r="F25" s="9" t="n">
        <v>430</v>
      </c>
      <c r="G25" s="8" t="s">
        <v>93</v>
      </c>
      <c r="H25" s="9" t="s">
        <v>61</v>
      </c>
      <c r="I25" s="9" t="n">
        <v>6</v>
      </c>
      <c r="J25" s="9"/>
      <c r="K25" s="9" t="n">
        <v>96</v>
      </c>
      <c r="L25" s="9" t="n">
        <v>308</v>
      </c>
      <c r="M25" s="9" t="n">
        <v>314</v>
      </c>
      <c r="N25" s="9" t="n">
        <v>402</v>
      </c>
      <c r="O25" s="9" t="n">
        <v>424</v>
      </c>
      <c r="P25" s="9" t="n">
        <v>401</v>
      </c>
      <c r="Q25" s="10" t="s">
        <v>62</v>
      </c>
      <c r="R25" s="9" t="str">
        <f aca="false">IF(Q25="Aprobada","Ya aprobada",IF(Q25="Cursada aprobada","Ya cursada",IF(AND(OR(L25="",COUNTIF($F$2:$F$46,L25)=0,COUNTIFS($F$2:$F$46,L25,$Q$2:$Q$46,"Aprobada")&gt;0,AND(Resumen!$B$15="La cursada aprobada",COUNTIFS($F$2:$F$46,L25,$Q$2:$Q$46,"Cursada aprobada")&gt;0)),OR(M25="",COUNTIF($F$2:$F$46,M25)=0,COUNTIFS($F$2:$F$46,M25,$Q$2:$Q$46,"Aprobada")&gt;0,AND(Resumen!$B$15="La cursada aprobada",COUNTIFS($F$2:$F$46,M25,$Q$2:$Q$46,"Cursada aprobada")&gt;0)),OR(N25="",COUNTIF($F$2:$F$46,N25)=0,COUNTIFS($F$2:$F$46,N25,$Q$2:$Q$46,"Aprobada")&gt;0,AND(Resumen!$B$15="La cursada aprobada",COUNTIFS($F$2:$F$46,N25,$Q$2:$Q$46,"Cursada aprobada")&gt;0)),OR(O25="",COUNTIF($F$2:$F$46,O25)=0,COUNTIFS($F$2:$F$46,O25,$Q$2:$Q$46,"Aprobada")&gt;0,AND(Resumen!$B$15="La cursada aprobada",COUNTIFS($F$2:$F$46,O25,$Q$2:$Q$46,"Cursada aprobada")&gt;0)),OR(P25="",COUNTIF($F$2:$F$46,P25)=0,COUNTIFS($F$2:$F$46,P25,$Q$2:$Q$46,"Aprobada")&gt;0,AND(Resumen!$B$15="La cursada aprobada",COUNTIFS($F$2:$F$46,P25,$Q$2:$Q$46,"Cursada aprobada")&gt;0))),"Sí","No")))</f>
        <v>No</v>
      </c>
      <c r="S25" s="8" t="str">
        <f aca="false">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</f>
        <v>308 314 402 424 401</v>
      </c>
      <c r="T25" s="9" t="str">
        <f aca="false">IF(Q25="Cursada aprobada",IF(AND(OR(L25="",COUNTIF($F$2:$F$46,L25)=0,COUNTIFS($F$2:$F$46,L25,$Q$2:$Q$46,"Aprobada")&gt;0),OR(M25="",COUNTIF($F$2:$F$46,M25)=0,COUNTIFS($F$2:$F$46,M25,$Q$2:$Q$46,"Aprobada")&gt;0),OR(N25="",COUNTIF($F$2:$F$46,N25)=0,COUNTIFS($F$2:$F$46,N25,$Q$2:$Q$46,"Aprobada")&gt;0),OR(O25="",COUNTIF($F$2:$F$46,O25)=0,COUNTIFS($F$2:$F$46,O25,$Q$2:$Q$46,"Aprobada")&gt;0),OR(P25="",COUNTIF($F$2:$F$46,P25)=0,COUNTIFS($F$2:$F$46,P25,$Q$2:$Q$46,"Aprobada")&gt;0)),"Sí","No"),"")</f>
        <v/>
      </c>
      <c r="U25" s="9" t="str">
        <f aca="false">IF(Q25="Aprobada",TRIM(IF(NOT(OR(L25="",COUNTIF($F$2:$F$46,L25)=0,COUNTIFS($F$2:$F$46,L25,$Q$2:$Q$46,"Aprobada")&gt;0)),L25&amp;" ","")&amp;IF(NOT(OR(M25="",COUNTIF($F$2:$F$46,M25)=0,COUNTIFS($F$2:$F$46,M25,$Q$2:$Q$46,"Aprobada")&gt;0)),M25&amp;" ","")&amp;IF(NOT(OR(N25="",COUNTIF($F$2:$F$46,N25)=0,COUNTIFS($F$2:$F$46,N25,$Q$2:$Q$46,"Aprobada")&gt;0)),N25&amp;" ","")&amp;IF(NOT(OR(O25="",COUNTIF($F$2:$F$46,O25)=0,COUNTIFS($F$2:$F$46,O25,$Q$2:$Q$46,"Aprobada")&gt;0)),O25&amp;" ","")&amp;IF(NOT(OR(P25="",COUNTIF($F$2:$F$46,P25)=0,COUNTIFS($F$2:$F$46,P25,$Q$2:$Q$46,"Aprobada")&gt;0)),P25&amp;" ","")),IF(Q25="Cursada aprobada",TRIM(IF(NOT(OR(L25="",COUNTIF($F$2:$F$46,L25)=0,COUNTIFS($F$2:$F$46,L25,$Q$2:$Q$46,"Aprobada")&gt;0,AND(Resumen!$B$15="La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","")),""))</f>
        <v/>
      </c>
    </row>
    <row r="26" customFormat="false" ht="15" hidden="false" customHeight="false" outlineLevel="0" collapsed="false">
      <c r="A26" s="8" t="s">
        <v>83</v>
      </c>
      <c r="B26" s="8"/>
      <c r="C26" s="9" t="n">
        <v>4</v>
      </c>
      <c r="D26" s="9" t="n">
        <v>1</v>
      </c>
      <c r="E26" s="9" t="s">
        <v>67</v>
      </c>
      <c r="F26" s="9" t="n">
        <v>460</v>
      </c>
      <c r="G26" s="8" t="s">
        <v>94</v>
      </c>
      <c r="H26" s="9" t="s">
        <v>61</v>
      </c>
      <c r="I26" s="9" t="n">
        <v>6</v>
      </c>
      <c r="J26" s="9"/>
      <c r="K26" s="9" t="n">
        <v>96</v>
      </c>
      <c r="L26" s="9" t="n">
        <v>307</v>
      </c>
      <c r="M26" s="9" t="n">
        <v>402</v>
      </c>
      <c r="N26" s="9" t="n">
        <v>349</v>
      </c>
      <c r="O26" s="9"/>
      <c r="P26" s="9"/>
      <c r="Q26" s="10" t="s">
        <v>62</v>
      </c>
      <c r="R26" s="9" t="str">
        <f aca="false">IF(Q26="Aprobada","Ya aprobada",IF(Q26="Cursada aprobada","Ya cursada",IF(AND(OR(L26="",COUNTIF($F$2:$F$46,L26)=0,COUNTIFS($F$2:$F$46,L26,$Q$2:$Q$46,"Aprobada")&gt;0,AND(Resumen!$B$15="La cursada aprobada",COUNTIFS($F$2:$F$46,L26,$Q$2:$Q$46,"Cursada aprobada")&gt;0)),OR(M26="",COUNTIF($F$2:$F$46,M26)=0,COUNTIFS($F$2:$F$46,M26,$Q$2:$Q$46,"Aprobada")&gt;0,AND(Resumen!$B$15="La cursada aprobada",COUNTIFS($F$2:$F$46,M26,$Q$2:$Q$46,"Cursada aprobada")&gt;0)),OR(N26="",COUNTIF($F$2:$F$46,N26)=0,COUNTIFS($F$2:$F$46,N26,$Q$2:$Q$46,"Aprobada")&gt;0,AND(Resumen!$B$15="La cursada aprobada",COUNTIFS($F$2:$F$46,N26,$Q$2:$Q$46,"Cursada aprobada")&gt;0)),OR(O26="",COUNTIF($F$2:$F$46,O26)=0,COUNTIFS($F$2:$F$46,O26,$Q$2:$Q$46,"Aprobada")&gt;0,AND(Resumen!$B$15="La cursada aprobada",COUNTIFS($F$2:$F$46,O26,$Q$2:$Q$46,"Cursada aprobada")&gt;0)),OR(P26="",COUNTIF($F$2:$F$46,P26)=0,COUNTIFS($F$2:$F$46,P26,$Q$2:$Q$46,"Aprobada")&gt;0,AND(Resumen!$B$15="La cursada aprobada",COUNTIFS($F$2:$F$46,P26,$Q$2:$Q$46,"Cursada aprobada")&gt;0))),"Sí","No")))</f>
        <v>No</v>
      </c>
      <c r="S26" s="8" t="str">
        <f aca="false">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</f>
        <v>307 402 349</v>
      </c>
      <c r="T26" s="9" t="str">
        <f aca="false">IF(Q26="Cursada aprobada",IF(AND(OR(L26="",COUNTIF($F$2:$F$46,L26)=0,COUNTIFS($F$2:$F$46,L26,$Q$2:$Q$46,"Aprobada")&gt;0),OR(M26="",COUNTIF($F$2:$F$46,M26)=0,COUNTIFS($F$2:$F$46,M26,$Q$2:$Q$46,"Aprobada")&gt;0),OR(N26="",COUNTIF($F$2:$F$46,N26)=0,COUNTIFS($F$2:$F$46,N26,$Q$2:$Q$46,"Aprobada")&gt;0),OR(O26="",COUNTIF($F$2:$F$46,O26)=0,COUNTIFS($F$2:$F$46,O26,$Q$2:$Q$46,"Aprobada")&gt;0),OR(P26="",COUNTIF($F$2:$F$46,P26)=0,COUNTIFS($F$2:$F$46,P26,$Q$2:$Q$46,"Aprobada")&gt;0)),"Sí","No"),"")</f>
        <v/>
      </c>
      <c r="U26" s="9" t="str">
        <f aca="false">IF(Q26="Aprobada",TRIM(IF(NOT(OR(L26="",COUNTIF($F$2:$F$46,L26)=0,COUNTIFS($F$2:$F$46,L26,$Q$2:$Q$46,"Aprobada")&gt;0)),L26&amp;" ","")&amp;IF(NOT(OR(M26="",COUNTIF($F$2:$F$46,M26)=0,COUNTIFS($F$2:$F$46,M26,$Q$2:$Q$46,"Aprobada")&gt;0)),M26&amp;" ","")&amp;IF(NOT(OR(N26="",COUNTIF($F$2:$F$46,N26)=0,COUNTIFS($F$2:$F$46,N26,$Q$2:$Q$46,"Aprobada")&gt;0)),N26&amp;" ","")&amp;IF(NOT(OR(O26="",COUNTIF($F$2:$F$46,O26)=0,COUNTIFS($F$2:$F$46,O26,$Q$2:$Q$46,"Aprobada")&gt;0)),O26&amp;" ","")&amp;IF(NOT(OR(P26="",COUNTIF($F$2:$F$46,P26)=0,COUNTIFS($F$2:$F$46,P26,$Q$2:$Q$46,"Aprobada")&gt;0)),P26&amp;" ","")),IF(Q26="Cursada aprobada",TRIM(IF(NOT(OR(L26="",COUNTIF($F$2:$F$46,L26)=0,COUNTIFS($F$2:$F$46,L26,$Q$2:$Q$46,"Aprobada")&gt;0,AND(Resumen!$B$15="La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","")),""))</f>
        <v/>
      </c>
    </row>
    <row r="27" customFormat="false" ht="15" hidden="false" customHeight="false" outlineLevel="0" collapsed="false">
      <c r="A27" s="8" t="s">
        <v>83</v>
      </c>
      <c r="B27" s="8"/>
      <c r="C27" s="9" t="n">
        <v>4</v>
      </c>
      <c r="D27" s="9" t="n">
        <v>1</v>
      </c>
      <c r="E27" s="9" t="s">
        <v>77</v>
      </c>
      <c r="F27" s="9" t="n">
        <v>425</v>
      </c>
      <c r="G27" s="8" t="s">
        <v>95</v>
      </c>
      <c r="H27" s="9" t="s">
        <v>71</v>
      </c>
      <c r="I27" s="9" t="n">
        <v>4</v>
      </c>
      <c r="J27" s="9"/>
      <c r="K27" s="9" t="n">
        <v>64</v>
      </c>
      <c r="L27" s="9" t="n">
        <v>307</v>
      </c>
      <c r="M27" s="9" t="n">
        <v>340</v>
      </c>
      <c r="N27" s="9"/>
      <c r="O27" s="9"/>
      <c r="P27" s="9"/>
      <c r="Q27" s="10" t="s">
        <v>62</v>
      </c>
      <c r="R27" s="9" t="str">
        <f aca="false">IF(Q27="Aprobada","Ya aprobada",IF(Q27="Cursada aprobada","Ya cursada",IF(AND(OR(L27="",COUNTIF($F$2:$F$46,L27)=0,COUNTIFS($F$2:$F$46,L27,$Q$2:$Q$46,"Aprobada")&gt;0,AND(Resumen!$B$15="La cursada aprobada",COUNTIFS($F$2:$F$46,L27,$Q$2:$Q$46,"Cursada aprobada")&gt;0)),OR(M27="",COUNTIF($F$2:$F$46,M27)=0,COUNTIFS($F$2:$F$46,M27,$Q$2:$Q$46,"Aprobada")&gt;0,AND(Resumen!$B$15="La cursada aprobada",COUNTIFS($F$2:$F$46,M27,$Q$2:$Q$46,"Cursada aprobada")&gt;0)),OR(N27="",COUNTIF($F$2:$F$46,N27)=0,COUNTIFS($F$2:$F$46,N27,$Q$2:$Q$46,"Aprobada")&gt;0,AND(Resumen!$B$15="La cursada aprobada",COUNTIFS($F$2:$F$46,N27,$Q$2:$Q$46,"Cursada aprobada")&gt;0)),OR(O27="",COUNTIF($F$2:$F$46,O27)=0,COUNTIFS($F$2:$F$46,O27,$Q$2:$Q$46,"Aprobada")&gt;0,AND(Resumen!$B$15="La cursada aprobada",COUNTIFS($F$2:$F$46,O27,$Q$2:$Q$46,"Cursada aprobada")&gt;0)),OR(P27="",COUNTIF($F$2:$F$46,P27)=0,COUNTIFS($F$2:$F$46,P27,$Q$2:$Q$46,"Aprobada")&gt;0,AND(Resumen!$B$15="La cursada aprobada",COUNTIFS($F$2:$F$46,P27,$Q$2:$Q$46,"Cursada aprobada")&gt;0))),"Sí","No")))</f>
        <v>No</v>
      </c>
      <c r="S27" s="8" t="str">
        <f aca="false">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</f>
        <v>307 340</v>
      </c>
      <c r="T27" s="9" t="str">
        <f aca="false">IF(Q27="Cursada aprobada",IF(AND(OR(L27="",COUNTIF($F$2:$F$46,L27)=0,COUNTIFS($F$2:$F$46,L27,$Q$2:$Q$46,"Aprobada")&gt;0),OR(M27="",COUNTIF($F$2:$F$46,M27)=0,COUNTIFS($F$2:$F$46,M27,$Q$2:$Q$46,"Aprobada")&gt;0),OR(N27="",COUNTIF($F$2:$F$46,N27)=0,COUNTIFS($F$2:$F$46,N27,$Q$2:$Q$46,"Aprobada")&gt;0),OR(O27="",COUNTIF($F$2:$F$46,O27)=0,COUNTIFS($F$2:$F$46,O27,$Q$2:$Q$46,"Aprobada")&gt;0),OR(P27="",COUNTIF($F$2:$F$46,P27)=0,COUNTIFS($F$2:$F$46,P27,$Q$2:$Q$46,"Aprobada")&gt;0)),"Sí","No"),"")</f>
        <v/>
      </c>
      <c r="U27" s="9" t="str">
        <f aca="false">IF(Q27="Aprobada",TRIM(IF(NOT(OR(L27="",COUNTIF($F$2:$F$46,L27)=0,COUNTIFS($F$2:$F$46,L27,$Q$2:$Q$46,"Aprobada")&gt;0)),L27&amp;" ","")&amp;IF(NOT(OR(M27="",COUNTIF($F$2:$F$46,M27)=0,COUNTIFS($F$2:$F$46,M27,$Q$2:$Q$46,"Aprobada")&gt;0)),M27&amp;" ","")&amp;IF(NOT(OR(N27="",COUNTIF($F$2:$F$46,N27)=0,COUNTIFS($F$2:$F$46,N27,$Q$2:$Q$46,"Aprobada")&gt;0)),N27&amp;" ","")&amp;IF(NOT(OR(O27="",COUNTIF($F$2:$F$46,O27)=0,COUNTIFS($F$2:$F$46,O27,$Q$2:$Q$46,"Aprobada")&gt;0)),O27&amp;" ","")&amp;IF(NOT(OR(P27="",COUNTIF($F$2:$F$46,P27)=0,COUNTIFS($F$2:$F$46,P27,$Q$2:$Q$46,"Aprobada")&gt;0)),P27&amp;" ","")),IF(Q27="Cursada aprobada",TRIM(IF(NOT(OR(L27="",COUNTIF($F$2:$F$46,L27)=0,COUNTIFS($F$2:$F$46,L27,$Q$2:$Q$46,"Aprobada")&gt;0,AND(Resumen!$B$15="La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","")),""))</f>
        <v/>
      </c>
    </row>
    <row r="28" customFormat="false" ht="15" hidden="false" customHeight="false" outlineLevel="0" collapsed="false">
      <c r="A28" s="8" t="s">
        <v>83</v>
      </c>
      <c r="B28" s="8"/>
      <c r="C28" s="9" t="n">
        <v>4</v>
      </c>
      <c r="D28" s="9" t="n">
        <v>2</v>
      </c>
      <c r="E28" s="9" t="s">
        <v>63</v>
      </c>
      <c r="F28" s="9" t="n">
        <v>490</v>
      </c>
      <c r="G28" s="8" t="s">
        <v>96</v>
      </c>
      <c r="H28" s="9" t="s">
        <v>61</v>
      </c>
      <c r="I28" s="9" t="n">
        <v>4</v>
      </c>
      <c r="J28" s="9" t="n">
        <v>32</v>
      </c>
      <c r="K28" s="9"/>
      <c r="L28" s="9" t="n">
        <v>308</v>
      </c>
      <c r="M28" s="9"/>
      <c r="N28" s="9"/>
      <c r="O28" s="9"/>
      <c r="P28" s="9"/>
      <c r="Q28" s="10" t="s">
        <v>62</v>
      </c>
      <c r="R28" s="9" t="str">
        <f aca="false">IF(Q28="Aprobada","Ya aprobada",IF(Q28="Cursada aprobada","Ya cursada",IF(AND(OR(L28="",COUNTIF($F$2:$F$46,L28)=0,COUNTIFS($F$2:$F$46,L28,$Q$2:$Q$46,"Aprobada")&gt;0,AND(Resumen!$B$15="La cursada aprobada",COUNTIFS($F$2:$F$46,L28,$Q$2:$Q$46,"Cursada aprobada")&gt;0)),OR(M28="",COUNTIF($F$2:$F$46,M28)=0,COUNTIFS($F$2:$F$46,M28,$Q$2:$Q$46,"Aprobada")&gt;0,AND(Resumen!$B$15="La cursada aprobada",COUNTIFS($F$2:$F$46,M28,$Q$2:$Q$46,"Cursada aprobada")&gt;0)),OR(N28="",COUNTIF($F$2:$F$46,N28)=0,COUNTIFS($F$2:$F$46,N28,$Q$2:$Q$46,"Aprobada")&gt;0,AND(Resumen!$B$15="La cursada aprobada",COUNTIFS($F$2:$F$46,N28,$Q$2:$Q$46,"Cursada aprobada")&gt;0)),OR(O28="",COUNTIF($F$2:$F$46,O28)=0,COUNTIFS($F$2:$F$46,O28,$Q$2:$Q$46,"Aprobada")&gt;0,AND(Resumen!$B$15="La cursada aprobada",COUNTIFS($F$2:$F$46,O28,$Q$2:$Q$46,"Cursada aprobada")&gt;0)),OR(P28="",COUNTIF($F$2:$F$46,P28)=0,COUNTIFS($F$2:$F$46,P28,$Q$2:$Q$46,"Aprobada")&gt;0,AND(Resumen!$B$15="La cursada aprobada",COUNTIFS($F$2:$F$46,P28,$Q$2:$Q$46,"Cursada aprobada")&gt;0))),"Sí","No")))</f>
        <v>No</v>
      </c>
      <c r="S28" s="8" t="str">
        <f aca="false">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</f>
        <v>308</v>
      </c>
      <c r="T28" s="9" t="str">
        <f aca="false">IF(Q28="Cursada aprobada",IF(AND(OR(L28="",COUNTIF($F$2:$F$46,L28)=0,COUNTIFS($F$2:$F$46,L28,$Q$2:$Q$46,"Aprobada")&gt;0),OR(M28="",COUNTIF($F$2:$F$46,M28)=0,COUNTIFS($F$2:$F$46,M28,$Q$2:$Q$46,"Aprobada")&gt;0),OR(N28="",COUNTIF($F$2:$F$46,N28)=0,COUNTIFS($F$2:$F$46,N28,$Q$2:$Q$46,"Aprobada")&gt;0),OR(O28="",COUNTIF($F$2:$F$46,O28)=0,COUNTIFS($F$2:$F$46,O28,$Q$2:$Q$46,"Aprobada")&gt;0),OR(P28="",COUNTIF($F$2:$F$46,P28)=0,COUNTIFS($F$2:$F$46,P28,$Q$2:$Q$46,"Aprobada")&gt;0)),"Sí","No"),"")</f>
        <v/>
      </c>
      <c r="U28" s="9" t="str">
        <f aca="false">IF(Q28="Aprobada",TRIM(IF(NOT(OR(L28="",COUNTIF($F$2:$F$46,L28)=0,COUNTIFS($F$2:$F$46,L28,$Q$2:$Q$46,"Aprobada")&gt;0)),L28&amp;" ","")&amp;IF(NOT(OR(M28="",COUNTIF($F$2:$F$46,M28)=0,COUNTIFS($F$2:$F$46,M28,$Q$2:$Q$46,"Aprobada")&gt;0)),M28&amp;" ","")&amp;IF(NOT(OR(N28="",COUNTIF($F$2:$F$46,N28)=0,COUNTIFS($F$2:$F$46,N28,$Q$2:$Q$46,"Aprobada")&gt;0)),N28&amp;" ","")&amp;IF(NOT(OR(O28="",COUNTIF($F$2:$F$46,O28)=0,COUNTIFS($F$2:$F$46,O28,$Q$2:$Q$46,"Aprobada")&gt;0)),O28&amp;" ","")&amp;IF(NOT(OR(P28="",COUNTIF($F$2:$F$46,P28)=0,COUNTIFS($F$2:$F$46,P28,$Q$2:$Q$46,"Aprobada")&gt;0)),P28&amp;" ","")),IF(Q28="Cursada aprobada",TRIM(IF(NOT(OR(L28="",COUNTIF($F$2:$F$46,L28)=0,COUNTIFS($F$2:$F$46,L28,$Q$2:$Q$46,"Aprobada")&gt;0,AND(Resumen!$B$15="La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","")),""))</f>
        <v/>
      </c>
    </row>
    <row r="29" customFormat="false" ht="15" hidden="false" customHeight="false" outlineLevel="0" collapsed="false">
      <c r="A29" s="8" t="s">
        <v>83</v>
      </c>
      <c r="B29" s="8"/>
      <c r="C29" s="9" t="n">
        <v>4</v>
      </c>
      <c r="D29" s="9" t="n">
        <v>2</v>
      </c>
      <c r="E29" s="9" t="s">
        <v>63</v>
      </c>
      <c r="F29" s="9" t="n">
        <v>491</v>
      </c>
      <c r="G29" s="8" t="s">
        <v>97</v>
      </c>
      <c r="H29" s="9" t="s">
        <v>61</v>
      </c>
      <c r="I29" s="9" t="n">
        <v>4</v>
      </c>
      <c r="J29" s="9" t="n">
        <v>32</v>
      </c>
      <c r="K29" s="9"/>
      <c r="L29" s="9" t="n">
        <v>308</v>
      </c>
      <c r="M29" s="9" t="n">
        <v>314</v>
      </c>
      <c r="N29" s="9" t="n">
        <v>250</v>
      </c>
      <c r="O29" s="9"/>
      <c r="P29" s="9"/>
      <c r="Q29" s="10" t="s">
        <v>62</v>
      </c>
      <c r="R29" s="9" t="str">
        <f aca="false">IF(Q29="Aprobada","Ya aprobada",IF(Q29="Cursada aprobada","Ya cursada",IF(AND(OR(L29="",COUNTIF($F$2:$F$46,L29)=0,COUNTIFS($F$2:$F$46,L29,$Q$2:$Q$46,"Aprobada")&gt;0,AND(Resumen!$B$15="La cursada aprobada",COUNTIFS($F$2:$F$46,L29,$Q$2:$Q$46,"Cursada aprobada")&gt;0)),OR(M29="",COUNTIF($F$2:$F$46,M29)=0,COUNTIFS($F$2:$F$46,M29,$Q$2:$Q$46,"Aprobada")&gt;0,AND(Resumen!$B$15="La cursada aprobada",COUNTIFS($F$2:$F$46,M29,$Q$2:$Q$46,"Cursada aprobada")&gt;0)),OR(N29="",COUNTIF($F$2:$F$46,N29)=0,COUNTIFS($F$2:$F$46,N29,$Q$2:$Q$46,"Aprobada")&gt;0,AND(Resumen!$B$15="La cursada aprobada",COUNTIFS($F$2:$F$46,N29,$Q$2:$Q$46,"Cursada aprobada")&gt;0)),OR(O29="",COUNTIF($F$2:$F$46,O29)=0,COUNTIFS($F$2:$F$46,O29,$Q$2:$Q$46,"Aprobada")&gt;0,AND(Resumen!$B$15="La cursada aprobada",COUNTIFS($F$2:$F$46,O29,$Q$2:$Q$46,"Cursada aprobada")&gt;0)),OR(P29="",COUNTIF($F$2:$F$46,P29)=0,COUNTIFS($F$2:$F$46,P29,$Q$2:$Q$46,"Aprobada")&gt;0,AND(Resumen!$B$15="La cursada aprobada",COUNTIFS($F$2:$F$46,P29,$Q$2:$Q$46,"Cursada aprobada")&gt;0))),"Sí","No")))</f>
        <v>No</v>
      </c>
      <c r="S29" s="8" t="str">
        <f aca="false">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</f>
        <v>308 314 250</v>
      </c>
      <c r="T29" s="9" t="str">
        <f aca="false">IF(Q29="Cursada aprobada",IF(AND(OR(L29="",COUNTIF($F$2:$F$46,L29)=0,COUNTIFS($F$2:$F$46,L29,$Q$2:$Q$46,"Aprobada")&gt;0),OR(M29="",COUNTIF($F$2:$F$46,M29)=0,COUNTIFS($F$2:$F$46,M29,$Q$2:$Q$46,"Aprobada")&gt;0),OR(N29="",COUNTIF($F$2:$F$46,N29)=0,COUNTIFS($F$2:$F$46,N29,$Q$2:$Q$46,"Aprobada")&gt;0),OR(O29="",COUNTIF($F$2:$F$46,O29)=0,COUNTIFS($F$2:$F$46,O29,$Q$2:$Q$46,"Aprobada")&gt;0),OR(P29="",COUNTIF($F$2:$F$46,P29)=0,COUNTIFS($F$2:$F$46,P29,$Q$2:$Q$46,"Aprobada")&gt;0)),"Sí","No"),"")</f>
        <v/>
      </c>
      <c r="U29" s="9" t="str">
        <f aca="false">IF(Q29="Aprobada",TRIM(IF(NOT(OR(L29="",COUNTIF($F$2:$F$46,L29)=0,COUNTIFS($F$2:$F$46,L29,$Q$2:$Q$46,"Aprobada")&gt;0)),L29&amp;" ","")&amp;IF(NOT(OR(M29="",COUNTIF($F$2:$F$46,M29)=0,COUNTIFS($F$2:$F$46,M29,$Q$2:$Q$46,"Aprobada")&gt;0)),M29&amp;" ","")&amp;IF(NOT(OR(N29="",COUNTIF($F$2:$F$46,N29)=0,COUNTIFS($F$2:$F$46,N29,$Q$2:$Q$46,"Aprobada")&gt;0)),N29&amp;" ","")&amp;IF(NOT(OR(O29="",COUNTIF($F$2:$F$46,O29)=0,COUNTIFS($F$2:$F$46,O29,$Q$2:$Q$46,"Aprobada")&gt;0)),O29&amp;" ","")&amp;IF(NOT(OR(P29="",COUNTIF($F$2:$F$46,P29)=0,COUNTIFS($F$2:$F$46,P29,$Q$2:$Q$46,"Aprobada")&gt;0)),P29&amp;" ","")),IF(Q29="Cursada aprobada",TRIM(IF(NOT(OR(L29="",COUNTIF($F$2:$F$46,L29)=0,COUNTIFS($F$2:$F$46,L29,$Q$2:$Q$46,"Aprobada")&gt;0,AND(Resumen!$B$15="La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","")),""))</f>
        <v/>
      </c>
    </row>
    <row r="30" customFormat="false" ht="15" hidden="false" customHeight="false" outlineLevel="0" collapsed="false">
      <c r="A30" s="8" t="s">
        <v>83</v>
      </c>
      <c r="B30" s="8"/>
      <c r="C30" s="9" t="n">
        <v>4</v>
      </c>
      <c r="D30" s="9" t="n">
        <v>2</v>
      </c>
      <c r="E30" s="9" t="s">
        <v>67</v>
      </c>
      <c r="F30" s="9" t="n">
        <v>527</v>
      </c>
      <c r="G30" s="8" t="s">
        <v>98</v>
      </c>
      <c r="H30" s="9" t="s">
        <v>61</v>
      </c>
      <c r="I30" s="9" t="n">
        <v>6</v>
      </c>
      <c r="J30" s="9"/>
      <c r="K30" s="9" t="n">
        <v>96</v>
      </c>
      <c r="L30" s="9" t="n">
        <v>402</v>
      </c>
      <c r="M30" s="9" t="n">
        <v>330</v>
      </c>
      <c r="N30" s="9" t="n">
        <v>401</v>
      </c>
      <c r="O30" s="9" t="n">
        <v>503</v>
      </c>
      <c r="P30" s="9"/>
      <c r="Q30" s="10" t="s">
        <v>62</v>
      </c>
      <c r="R30" s="9" t="str">
        <f aca="false">IF(Q30="Aprobada","Ya aprobada",IF(Q30="Cursada aprobada","Ya cursada",IF(AND(OR(L30="",COUNTIF($F$2:$F$46,L30)=0,COUNTIFS($F$2:$F$46,L30,$Q$2:$Q$46,"Aprobada")&gt;0,AND(Resumen!$B$15="La cursada aprobada",COUNTIFS($F$2:$F$46,L30,$Q$2:$Q$46,"Cursada aprobada")&gt;0)),OR(M30="",COUNTIF($F$2:$F$46,M30)=0,COUNTIFS($F$2:$F$46,M30,$Q$2:$Q$46,"Aprobada")&gt;0,AND(Resumen!$B$15="La cursada aprobada",COUNTIFS($F$2:$F$46,M30,$Q$2:$Q$46,"Cursada aprobada")&gt;0)),OR(N30="",COUNTIF($F$2:$F$46,N30)=0,COUNTIFS($F$2:$F$46,N30,$Q$2:$Q$46,"Aprobada")&gt;0,AND(Resumen!$B$15="La cursada aprobada",COUNTIFS($F$2:$F$46,N30,$Q$2:$Q$46,"Cursada aprobada")&gt;0)),OR(O30="",COUNTIF($F$2:$F$46,O30)=0,COUNTIFS($F$2:$F$46,O30,$Q$2:$Q$46,"Aprobada")&gt;0,AND(Resumen!$B$15="La cursada aprobada",COUNTIFS($F$2:$F$46,O30,$Q$2:$Q$46,"Cursada aprobada")&gt;0)),OR(P30="",COUNTIF($F$2:$F$46,P30)=0,COUNTIFS($F$2:$F$46,P30,$Q$2:$Q$46,"Aprobada")&gt;0,AND(Resumen!$B$15="La cursada aprobada",COUNTIFS($F$2:$F$46,P30,$Q$2:$Q$46,"Cursada aprobada")&gt;0))),"Sí","No")))</f>
        <v>No</v>
      </c>
      <c r="S30" s="8" t="str">
        <f aca="false">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</f>
        <v>402 330 401 503</v>
      </c>
      <c r="T30" s="9" t="str">
        <f aca="false">IF(Q30="Cursada aprobada",IF(AND(OR(L30="",COUNTIF($F$2:$F$46,L30)=0,COUNTIFS($F$2:$F$46,L30,$Q$2:$Q$46,"Aprobada")&gt;0),OR(M30="",COUNTIF($F$2:$F$46,M30)=0,COUNTIFS($F$2:$F$46,M30,$Q$2:$Q$46,"Aprobada")&gt;0),OR(N30="",COUNTIF($F$2:$F$46,N30)=0,COUNTIFS($F$2:$F$46,N30,$Q$2:$Q$46,"Aprobada")&gt;0),OR(O30="",COUNTIF($F$2:$F$46,O30)=0,COUNTIFS($F$2:$F$46,O30,$Q$2:$Q$46,"Aprobada")&gt;0),OR(P30="",COUNTIF($F$2:$F$46,P30)=0,COUNTIFS($F$2:$F$46,P30,$Q$2:$Q$46,"Aprobada")&gt;0)),"Sí","No"),"")</f>
        <v/>
      </c>
      <c r="U30" s="9" t="str">
        <f aca="false">IF(Q30="Aprobada",TRIM(IF(NOT(OR(L30="",COUNTIF($F$2:$F$46,L30)=0,COUNTIFS($F$2:$F$46,L30,$Q$2:$Q$46,"Aprobada")&gt;0)),L30&amp;" ","")&amp;IF(NOT(OR(M30="",COUNTIF($F$2:$F$46,M30)=0,COUNTIFS($F$2:$F$46,M30,$Q$2:$Q$46,"Aprobada")&gt;0)),M30&amp;" ","")&amp;IF(NOT(OR(N30="",COUNTIF($F$2:$F$46,N30)=0,COUNTIFS($F$2:$F$46,N30,$Q$2:$Q$46,"Aprobada")&gt;0)),N30&amp;" ","")&amp;IF(NOT(OR(O30="",COUNTIF($F$2:$F$46,O30)=0,COUNTIFS($F$2:$F$46,O30,$Q$2:$Q$46,"Aprobada")&gt;0)),O30&amp;" ","")&amp;IF(NOT(OR(P30="",COUNTIF($F$2:$F$46,P30)=0,COUNTIFS($F$2:$F$46,P30,$Q$2:$Q$46,"Aprobada")&gt;0)),P30&amp;" ","")),IF(Q30="Cursada aprobada",TRIM(IF(NOT(OR(L30="",COUNTIF($F$2:$F$46,L30)=0,COUNTIFS($F$2:$F$46,L30,$Q$2:$Q$46,"Aprobada")&gt;0,AND(Resumen!$B$15="La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","")),""))</f>
        <v/>
      </c>
    </row>
    <row r="31" customFormat="false" ht="15" hidden="false" customHeight="false" outlineLevel="0" collapsed="false">
      <c r="A31" s="8" t="s">
        <v>83</v>
      </c>
      <c r="B31" s="8"/>
      <c r="C31" s="9" t="n">
        <v>4</v>
      </c>
      <c r="D31" s="9" t="n">
        <v>2</v>
      </c>
      <c r="E31" s="9" t="s">
        <v>99</v>
      </c>
      <c r="F31" s="9" t="n">
        <v>499</v>
      </c>
      <c r="G31" s="8" t="s">
        <v>100</v>
      </c>
      <c r="H31" s="9" t="s">
        <v>92</v>
      </c>
      <c r="I31" s="9" t="n">
        <v>2</v>
      </c>
      <c r="J31" s="9"/>
      <c r="K31" s="9" t="n">
        <v>32</v>
      </c>
      <c r="L31" s="9"/>
      <c r="M31" s="9"/>
      <c r="N31" s="9"/>
      <c r="O31" s="9"/>
      <c r="P31" s="9"/>
      <c r="Q31" s="10" t="s">
        <v>62</v>
      </c>
      <c r="R31" s="9" t="str">
        <f aca="false">IF(Q31="Aprobada","Ya aprobada",IF(Q31="Cursada aprobada","Ya cursada",IF(AND(OR(L31="",COUNTIF($F$2:$F$46,L31)=0,COUNTIFS($F$2:$F$46,L31,$Q$2:$Q$46,"Aprobada")&gt;0,AND(Resumen!$B$15="La cursada aprobada",COUNTIFS($F$2:$F$46,L31,$Q$2:$Q$46,"Cursada aprobada")&gt;0)),OR(M31="",COUNTIF($F$2:$F$46,M31)=0,COUNTIFS($F$2:$F$46,M31,$Q$2:$Q$46,"Aprobada")&gt;0,AND(Resumen!$B$15="La cursada aprobada",COUNTIFS($F$2:$F$46,M31,$Q$2:$Q$46,"Cursada aprobada")&gt;0)),OR(N31="",COUNTIF($F$2:$F$46,N31)=0,COUNTIFS($F$2:$F$46,N31,$Q$2:$Q$46,"Aprobada")&gt;0,AND(Resumen!$B$15="La cursada aprobada",COUNTIFS($F$2:$F$46,N31,$Q$2:$Q$46,"Cursada aprobada")&gt;0)),OR(O31="",COUNTIF($F$2:$F$46,O31)=0,COUNTIFS($F$2:$F$46,O31,$Q$2:$Q$46,"Aprobada")&gt;0,AND(Resumen!$B$15="La cursada aprobada",COUNTIFS($F$2:$F$46,O31,$Q$2:$Q$46,"Cursada aprobada")&gt;0)),OR(P31="",COUNTIF($F$2:$F$46,P31)=0,COUNTIFS($F$2:$F$46,P31,$Q$2:$Q$46,"Aprobada")&gt;0,AND(Resumen!$B$15="La cursada aprobada",COUNTIFS($F$2:$F$46,P31,$Q$2:$Q$46,"Cursada aprobada")&gt;0))),"Sí","No")))</f>
        <v>Sí</v>
      </c>
      <c r="S31" s="8" t="str">
        <f aca="false">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</f>
        <v/>
      </c>
      <c r="T31" s="9" t="str">
        <f aca="false">IF(Q31="Cursada aprobada",IF(AND(OR(L31="",COUNTIF($F$2:$F$46,L31)=0,COUNTIFS($F$2:$F$46,L31,$Q$2:$Q$46,"Aprobada")&gt;0),OR(M31="",COUNTIF($F$2:$F$46,M31)=0,COUNTIFS($F$2:$F$46,M31,$Q$2:$Q$46,"Aprobada")&gt;0),OR(N31="",COUNTIF($F$2:$F$46,N31)=0,COUNTIFS($F$2:$F$46,N31,$Q$2:$Q$46,"Aprobada")&gt;0),OR(O31="",COUNTIF($F$2:$F$46,O31)=0,COUNTIFS($F$2:$F$46,O31,$Q$2:$Q$46,"Aprobada")&gt;0),OR(P31="",COUNTIF($F$2:$F$46,P31)=0,COUNTIFS($F$2:$F$46,P31,$Q$2:$Q$46,"Aprobada")&gt;0)),"Sí","No"),"")</f>
        <v/>
      </c>
      <c r="U31" s="9" t="str">
        <f aca="false">IF(Q31="Aprobada",TRIM(IF(NOT(OR(L31="",COUNTIF($F$2:$F$46,L31)=0,COUNTIFS($F$2:$F$46,L31,$Q$2:$Q$46,"Aprobada")&gt;0)),L31&amp;" ","")&amp;IF(NOT(OR(M31="",COUNTIF($F$2:$F$46,M31)=0,COUNTIFS($F$2:$F$46,M31,$Q$2:$Q$46,"Aprobada")&gt;0)),M31&amp;" ","")&amp;IF(NOT(OR(N31="",COUNTIF($F$2:$F$46,N31)=0,COUNTIFS($F$2:$F$46,N31,$Q$2:$Q$46,"Aprobada")&gt;0)),N31&amp;" ","")&amp;IF(NOT(OR(O31="",COUNTIF($F$2:$F$46,O31)=0,COUNTIFS($F$2:$F$46,O31,$Q$2:$Q$46,"Aprobada")&gt;0)),O31&amp;" ","")&amp;IF(NOT(OR(P31="",COUNTIF($F$2:$F$46,P31)=0,COUNTIFS($F$2:$F$46,P31,$Q$2:$Q$46,"Aprobada")&gt;0)),P31&amp;" ","")),IF(Q31="Cursada aprobada",TRIM(IF(NOT(OR(L31="",COUNTIF($F$2:$F$46,L31)=0,COUNTIFS($F$2:$F$46,L31,$Q$2:$Q$46,"Aprobada")&gt;0,AND(Resumen!$B$15="La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","")),""))</f>
        <v/>
      </c>
    </row>
    <row r="32" customFormat="false" ht="15" hidden="false" customHeight="false" outlineLevel="0" collapsed="false">
      <c r="A32" s="8" t="s">
        <v>83</v>
      </c>
      <c r="B32" s="8"/>
      <c r="C32" s="9" t="n">
        <v>5</v>
      </c>
      <c r="D32" s="9" t="n">
        <v>1</v>
      </c>
      <c r="E32" s="9" t="s">
        <v>67</v>
      </c>
      <c r="F32" s="9" t="n">
        <v>525</v>
      </c>
      <c r="G32" s="8" t="s">
        <v>101</v>
      </c>
      <c r="H32" s="9" t="s">
        <v>61</v>
      </c>
      <c r="I32" s="9" t="n">
        <v>6</v>
      </c>
      <c r="J32" s="9"/>
      <c r="K32" s="9" t="n">
        <v>96</v>
      </c>
      <c r="L32" s="9" t="n">
        <v>460</v>
      </c>
      <c r="M32" s="9"/>
      <c r="N32" s="9"/>
      <c r="O32" s="9"/>
      <c r="P32" s="9"/>
      <c r="Q32" s="10" t="s">
        <v>62</v>
      </c>
      <c r="R32" s="9" t="str">
        <f aca="false">IF(Q32="Aprobada","Ya aprobada",IF(Q32="Cursada aprobada","Ya cursada",IF(AND(OR(L32="",COUNTIF($F$2:$F$46,L32)=0,COUNTIFS($F$2:$F$46,L32,$Q$2:$Q$46,"Aprobada")&gt;0,AND(Resumen!$B$15="La cursada aprobada",COUNTIFS($F$2:$F$46,L32,$Q$2:$Q$46,"Cursada aprobada")&gt;0)),OR(M32="",COUNTIF($F$2:$F$46,M32)=0,COUNTIFS($F$2:$F$46,M32,$Q$2:$Q$46,"Aprobada")&gt;0,AND(Resumen!$B$15="La cursada aprobada",COUNTIFS($F$2:$F$46,M32,$Q$2:$Q$46,"Cursada aprobada")&gt;0)),OR(N32="",COUNTIF($F$2:$F$46,N32)=0,COUNTIFS($F$2:$F$46,N32,$Q$2:$Q$46,"Aprobada")&gt;0,AND(Resumen!$B$15="La cursada aprobada",COUNTIFS($F$2:$F$46,N32,$Q$2:$Q$46,"Cursada aprobada")&gt;0)),OR(O32="",COUNTIF($F$2:$F$46,O32)=0,COUNTIFS($F$2:$F$46,O32,$Q$2:$Q$46,"Aprobada")&gt;0,AND(Resumen!$B$15="La cursada aprobada",COUNTIFS($F$2:$F$46,O32,$Q$2:$Q$46,"Cursada aprobada")&gt;0)),OR(P32="",COUNTIF($F$2:$F$46,P32)=0,COUNTIFS($F$2:$F$46,P32,$Q$2:$Q$46,"Aprobada")&gt;0,AND(Resumen!$B$15="La cursada aprobada",COUNTIFS($F$2:$F$46,P32,$Q$2:$Q$46,"Cursada aprobada")&gt;0))),"Sí","No")))</f>
        <v>No</v>
      </c>
      <c r="S32" s="8" t="str">
        <f aca="false">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</f>
        <v>460</v>
      </c>
      <c r="T32" s="9" t="str">
        <f aca="false">IF(Q32="Cursada aprobada",IF(AND(OR(L32="",COUNTIF($F$2:$F$46,L32)=0,COUNTIFS($F$2:$F$46,L32,$Q$2:$Q$46,"Aprobada")&gt;0),OR(M32="",COUNTIF($F$2:$F$46,M32)=0,COUNTIFS($F$2:$F$46,M32,$Q$2:$Q$46,"Aprobada")&gt;0),OR(N32="",COUNTIF($F$2:$F$46,N32)=0,COUNTIFS($F$2:$F$46,N32,$Q$2:$Q$46,"Aprobada")&gt;0),OR(O32="",COUNTIF($F$2:$F$46,O32)=0,COUNTIFS($F$2:$F$46,O32,$Q$2:$Q$46,"Aprobada")&gt;0),OR(P32="",COUNTIF($F$2:$F$46,P32)=0,COUNTIFS($F$2:$F$46,P32,$Q$2:$Q$46,"Aprobada")&gt;0)),"Sí","No"),"")</f>
        <v/>
      </c>
      <c r="U32" s="9" t="str">
        <f aca="false">IF(Q32="Aprobada",TRIM(IF(NOT(OR(L32="",COUNTIF($F$2:$F$46,L32)=0,COUNTIFS($F$2:$F$46,L32,$Q$2:$Q$46,"Aprobada")&gt;0)),L32&amp;" ","")&amp;IF(NOT(OR(M32="",COUNTIF($F$2:$F$46,M32)=0,COUNTIFS($F$2:$F$46,M32,$Q$2:$Q$46,"Aprobada")&gt;0)),M32&amp;" ","")&amp;IF(NOT(OR(N32="",COUNTIF($F$2:$F$46,N32)=0,COUNTIFS($F$2:$F$46,N32,$Q$2:$Q$46,"Aprobada")&gt;0)),N32&amp;" ","")&amp;IF(NOT(OR(O32="",COUNTIF($F$2:$F$46,O32)=0,COUNTIFS($F$2:$F$46,O32,$Q$2:$Q$46,"Aprobada")&gt;0)),O32&amp;" ","")&amp;IF(NOT(OR(P32="",COUNTIF($F$2:$F$46,P32)=0,COUNTIFS($F$2:$F$46,P32,$Q$2:$Q$46,"Aprobada")&gt;0)),P32&amp;" ","")),IF(Q32="Cursada aprobada",TRIM(IF(NOT(OR(L32="",COUNTIF($F$2:$F$46,L32)=0,COUNTIFS($F$2:$F$46,L32,$Q$2:$Q$46,"Aprobada")&gt;0,AND(Resumen!$B$15="La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","")),""))</f>
        <v/>
      </c>
    </row>
    <row r="33" customFormat="false" ht="15" hidden="false" customHeight="false" outlineLevel="0" collapsed="false">
      <c r="A33" s="8" t="s">
        <v>83</v>
      </c>
      <c r="B33" s="8"/>
      <c r="C33" s="9" t="n">
        <v>5</v>
      </c>
      <c r="D33" s="9" t="n">
        <v>1</v>
      </c>
      <c r="E33" s="9" t="s">
        <v>63</v>
      </c>
      <c r="F33" s="9" t="n">
        <v>602</v>
      </c>
      <c r="G33" s="8" t="s">
        <v>102</v>
      </c>
      <c r="H33" s="9" t="s">
        <v>61</v>
      </c>
      <c r="I33" s="9" t="n">
        <v>6</v>
      </c>
      <c r="J33" s="9"/>
      <c r="K33" s="9" t="n">
        <v>96</v>
      </c>
      <c r="L33" s="9" t="n">
        <v>330</v>
      </c>
      <c r="M33" s="9" t="n">
        <v>430</v>
      </c>
      <c r="N33" s="9"/>
      <c r="O33" s="9"/>
      <c r="P33" s="9"/>
      <c r="Q33" s="10" t="s">
        <v>62</v>
      </c>
      <c r="R33" s="9" t="str">
        <f aca="false">IF(Q33="Aprobada","Ya aprobada",IF(Q33="Cursada aprobada","Ya cursada",IF(AND(OR(L33="",COUNTIF($F$2:$F$46,L33)=0,COUNTIFS($F$2:$F$46,L33,$Q$2:$Q$46,"Aprobada")&gt;0,AND(Resumen!$B$15="La cursada aprobada",COUNTIFS($F$2:$F$46,L33,$Q$2:$Q$46,"Cursada aprobada")&gt;0)),OR(M33="",COUNTIF($F$2:$F$46,M33)=0,COUNTIFS($F$2:$F$46,M33,$Q$2:$Q$46,"Aprobada")&gt;0,AND(Resumen!$B$15="La cursada aprobada",COUNTIFS($F$2:$F$46,M33,$Q$2:$Q$46,"Cursada aprobada")&gt;0)),OR(N33="",COUNTIF($F$2:$F$46,N33)=0,COUNTIFS($F$2:$F$46,N33,$Q$2:$Q$46,"Aprobada")&gt;0,AND(Resumen!$B$15="La cursada aprobada",COUNTIFS($F$2:$F$46,N33,$Q$2:$Q$46,"Cursada aprobada")&gt;0)),OR(O33="",COUNTIF($F$2:$F$46,O33)=0,COUNTIFS($F$2:$F$46,O33,$Q$2:$Q$46,"Aprobada")&gt;0,AND(Resumen!$B$15="La cursada aprobada",COUNTIFS($F$2:$F$46,O33,$Q$2:$Q$46,"Cursada aprobada")&gt;0)),OR(P33="",COUNTIF($F$2:$F$46,P33)=0,COUNTIFS($F$2:$F$46,P33,$Q$2:$Q$46,"Aprobada")&gt;0,AND(Resumen!$B$15="La cursada aprobada",COUNTIFS($F$2:$F$46,P33,$Q$2:$Q$46,"Cursada aprobada")&gt;0))),"Sí","No")))</f>
        <v>No</v>
      </c>
      <c r="S33" s="8" t="str">
        <f aca="false">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</f>
        <v>330 430</v>
      </c>
      <c r="T33" s="9" t="str">
        <f aca="false">IF(Q33="Cursada aprobada",IF(AND(OR(L33="",COUNTIF($F$2:$F$46,L33)=0,COUNTIFS($F$2:$F$46,L33,$Q$2:$Q$46,"Aprobada")&gt;0),OR(M33="",COUNTIF($F$2:$F$46,M33)=0,COUNTIFS($F$2:$F$46,M33,$Q$2:$Q$46,"Aprobada")&gt;0),OR(N33="",COUNTIF($F$2:$F$46,N33)=0,COUNTIFS($F$2:$F$46,N33,$Q$2:$Q$46,"Aprobada")&gt;0),OR(O33="",COUNTIF($F$2:$F$46,O33)=0,COUNTIFS($F$2:$F$46,O33,$Q$2:$Q$46,"Aprobada")&gt;0),OR(P33="",COUNTIF($F$2:$F$46,P33)=0,COUNTIFS($F$2:$F$46,P33,$Q$2:$Q$46,"Aprobada")&gt;0)),"Sí","No"),"")</f>
        <v/>
      </c>
      <c r="U33" s="9" t="str">
        <f aca="false">IF(Q33="Aprobada",TRIM(IF(NOT(OR(L33="",COUNTIF($F$2:$F$46,L33)=0,COUNTIFS($F$2:$F$46,L33,$Q$2:$Q$46,"Aprobada")&gt;0)),L33&amp;" ","")&amp;IF(NOT(OR(M33="",COUNTIF($F$2:$F$46,M33)=0,COUNTIFS($F$2:$F$46,M33,$Q$2:$Q$46,"Aprobada")&gt;0)),M33&amp;" ","")&amp;IF(NOT(OR(N33="",COUNTIF($F$2:$F$46,N33)=0,COUNTIFS($F$2:$F$46,N33,$Q$2:$Q$46,"Aprobada")&gt;0)),N33&amp;" ","")&amp;IF(NOT(OR(O33="",COUNTIF($F$2:$F$46,O33)=0,COUNTIFS($F$2:$F$46,O33,$Q$2:$Q$46,"Aprobada")&gt;0)),O33&amp;" ","")&amp;IF(NOT(OR(P33="",COUNTIF($F$2:$F$46,P33)=0,COUNTIFS($F$2:$F$46,P33,$Q$2:$Q$46,"Aprobada")&gt;0)),P33&amp;" ","")),IF(Q33="Cursada aprobada",TRIM(IF(NOT(OR(L33="",COUNTIF($F$2:$F$46,L33)=0,COUNTIFS($F$2:$F$46,L33,$Q$2:$Q$46,"Aprobada")&gt;0,AND(Resumen!$B$15="La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","")),""))</f>
        <v/>
      </c>
    </row>
    <row r="34" customFormat="false" ht="15" hidden="false" customHeight="false" outlineLevel="0" collapsed="false">
      <c r="A34" s="8" t="s">
        <v>83</v>
      </c>
      <c r="B34" s="8"/>
      <c r="C34" s="9" t="n">
        <v>5</v>
      </c>
      <c r="D34" s="9" t="n">
        <v>1</v>
      </c>
      <c r="E34" s="9" t="s">
        <v>77</v>
      </c>
      <c r="F34" s="9" t="n">
        <v>590</v>
      </c>
      <c r="G34" s="8" t="s">
        <v>103</v>
      </c>
      <c r="H34" s="9" t="s">
        <v>71</v>
      </c>
      <c r="I34" s="9" t="n">
        <v>4</v>
      </c>
      <c r="J34" s="9"/>
      <c r="K34" s="9" t="n">
        <v>64</v>
      </c>
      <c r="L34" s="9" t="n">
        <v>503</v>
      </c>
      <c r="M34" s="9" t="n">
        <v>430</v>
      </c>
      <c r="N34" s="9" t="n">
        <v>425</v>
      </c>
      <c r="O34" s="9" t="n">
        <v>527</v>
      </c>
      <c r="P34" s="9"/>
      <c r="Q34" s="10" t="s">
        <v>62</v>
      </c>
      <c r="R34" s="9" t="str">
        <f aca="false">IF(Q34="Aprobada","Ya aprobada",IF(Q34="Cursada aprobada","Ya cursada",IF(AND(OR(L34="",COUNTIF($F$2:$F$46,L34)=0,COUNTIFS($F$2:$F$46,L34,$Q$2:$Q$46,"Aprobada")&gt;0,AND(Resumen!$B$15="La cursada aprobada",COUNTIFS($F$2:$F$46,L34,$Q$2:$Q$46,"Cursada aprobada")&gt;0)),OR(M34="",COUNTIF($F$2:$F$46,M34)=0,COUNTIFS($F$2:$F$46,M34,$Q$2:$Q$46,"Aprobada")&gt;0,AND(Resumen!$B$15="La cursada aprobada",COUNTIFS($F$2:$F$46,M34,$Q$2:$Q$46,"Cursada aprobada")&gt;0)),OR(N34="",COUNTIF($F$2:$F$46,N34)=0,COUNTIFS($F$2:$F$46,N34,$Q$2:$Q$46,"Aprobada")&gt;0,AND(Resumen!$B$15="La cursada aprobada",COUNTIFS($F$2:$F$46,N34,$Q$2:$Q$46,"Cursada aprobada")&gt;0)),OR(O34="",COUNTIF($F$2:$F$46,O34)=0,COUNTIFS($F$2:$F$46,O34,$Q$2:$Q$46,"Aprobada")&gt;0,AND(Resumen!$B$15="La cursada aprobada",COUNTIFS($F$2:$F$46,O34,$Q$2:$Q$46,"Cursada aprobada")&gt;0)),OR(P34="",COUNTIF($F$2:$F$46,P34)=0,COUNTIFS($F$2:$F$46,P34,$Q$2:$Q$46,"Aprobada")&gt;0,AND(Resumen!$B$15="La cursada aprobada",COUNTIFS($F$2:$F$46,P34,$Q$2:$Q$46,"Cursada aprobada")&gt;0))),"Sí","No")))</f>
        <v>No</v>
      </c>
      <c r="S34" s="8" t="str">
        <f aca="false">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</f>
        <v>503 430 425 527</v>
      </c>
      <c r="T34" s="9" t="str">
        <f aca="false">IF(Q34="Cursada aprobada",IF(AND(OR(L34="",COUNTIF($F$2:$F$46,L34)=0,COUNTIFS($F$2:$F$46,L34,$Q$2:$Q$46,"Aprobada")&gt;0),OR(M34="",COUNTIF($F$2:$F$46,M34)=0,COUNTIFS($F$2:$F$46,M34,$Q$2:$Q$46,"Aprobada")&gt;0),OR(N34="",COUNTIF($F$2:$F$46,N34)=0,COUNTIFS($F$2:$F$46,N34,$Q$2:$Q$46,"Aprobada")&gt;0),OR(O34="",COUNTIF($F$2:$F$46,O34)=0,COUNTIFS($F$2:$F$46,O34,$Q$2:$Q$46,"Aprobada")&gt;0),OR(P34="",COUNTIF($F$2:$F$46,P34)=0,COUNTIFS($F$2:$F$46,P34,$Q$2:$Q$46,"Aprobada")&gt;0)),"Sí","No"),"")</f>
        <v/>
      </c>
      <c r="U34" s="9" t="str">
        <f aca="false">IF(Q34="Aprobada",TRIM(IF(NOT(OR(L34="",COUNTIF($F$2:$F$46,L34)=0,COUNTIFS($F$2:$F$46,L34,$Q$2:$Q$46,"Aprobada")&gt;0)),L34&amp;" ","")&amp;IF(NOT(OR(M34="",COUNTIF($F$2:$F$46,M34)=0,COUNTIFS($F$2:$F$46,M34,$Q$2:$Q$46,"Aprobada")&gt;0)),M34&amp;" ","")&amp;IF(NOT(OR(N34="",COUNTIF($F$2:$F$46,N34)=0,COUNTIFS($F$2:$F$46,N34,$Q$2:$Q$46,"Aprobada")&gt;0)),N34&amp;" ","")&amp;IF(NOT(OR(O34="",COUNTIF($F$2:$F$46,O34)=0,COUNTIFS($F$2:$F$46,O34,$Q$2:$Q$46,"Aprobada")&gt;0)),O34&amp;" ","")&amp;IF(NOT(OR(P34="",COUNTIF($F$2:$F$46,P34)=0,COUNTIFS($F$2:$F$46,P34,$Q$2:$Q$46,"Aprobada")&gt;0)),P34&amp;" ","")),IF(Q34="Cursada aprobada",TRIM(IF(NOT(OR(L34="",COUNTIF($F$2:$F$46,L34)=0,COUNTIFS($F$2:$F$46,L34,$Q$2:$Q$46,"Aprobada")&gt;0,AND(Resumen!$B$15="La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","")),""))</f>
        <v/>
      </c>
    </row>
    <row r="35" customFormat="false" ht="15" hidden="false" customHeight="false" outlineLevel="0" collapsed="false">
      <c r="A35" s="8" t="s">
        <v>83</v>
      </c>
      <c r="B35" s="8"/>
      <c r="C35" s="9" t="n">
        <v>5</v>
      </c>
      <c r="D35" s="9" t="n">
        <v>2</v>
      </c>
      <c r="E35" s="9" t="s">
        <v>67</v>
      </c>
      <c r="F35" s="9" t="n">
        <v>805</v>
      </c>
      <c r="G35" s="8" t="s">
        <v>104</v>
      </c>
      <c r="H35" s="9" t="s">
        <v>92</v>
      </c>
      <c r="I35" s="9" t="n">
        <v>6</v>
      </c>
      <c r="J35" s="9"/>
      <c r="K35" s="9" t="n">
        <v>100</v>
      </c>
      <c r="L35" s="9" t="n">
        <v>527</v>
      </c>
      <c r="M35" s="9" t="n">
        <v>590</v>
      </c>
      <c r="N35" s="9" t="n">
        <v>525</v>
      </c>
      <c r="O35" s="9"/>
      <c r="P35" s="9"/>
      <c r="Q35" s="10" t="s">
        <v>62</v>
      </c>
      <c r="R35" s="9" t="str">
        <f aca="false">IF(Q35="Aprobada","Ya aprobada",IF(Q35="Cursada aprobada","Ya cursada",IF(AND(OR(L35="",COUNTIF($F$2:$F$46,L35)=0,COUNTIFS($F$2:$F$46,L35,$Q$2:$Q$46,"Aprobada")&gt;0,AND(Resumen!$B$15="La cursada aprobada",COUNTIFS($F$2:$F$46,L35,$Q$2:$Q$46,"Cursada aprobada")&gt;0)),OR(M35="",COUNTIF($F$2:$F$46,M35)=0,COUNTIFS($F$2:$F$46,M35,$Q$2:$Q$46,"Aprobada")&gt;0,AND(Resumen!$B$15="La cursada aprobada",COUNTIFS($F$2:$F$46,M35,$Q$2:$Q$46,"Cursada aprobada")&gt;0)),OR(N35="",COUNTIF($F$2:$F$46,N35)=0,COUNTIFS($F$2:$F$46,N35,$Q$2:$Q$46,"Aprobada")&gt;0,AND(Resumen!$B$15="La cursada aprobada",COUNTIFS($F$2:$F$46,N35,$Q$2:$Q$46,"Cursada aprobada")&gt;0)),OR(O35="",COUNTIF($F$2:$F$46,O35)=0,COUNTIFS($F$2:$F$46,O35,$Q$2:$Q$46,"Aprobada")&gt;0,AND(Resumen!$B$15="La cursada aprobada",COUNTIFS($F$2:$F$46,O35,$Q$2:$Q$46,"Cursada aprobada")&gt;0)),OR(P35="",COUNTIF($F$2:$F$46,P35)=0,COUNTIFS($F$2:$F$46,P35,$Q$2:$Q$46,"Aprobada")&gt;0,AND(Resumen!$B$15="La cursada aprobada",COUNTIFS($F$2:$F$46,P35,$Q$2:$Q$46,"Cursada aprobada")&gt;0))),"Sí","No")))</f>
        <v>No</v>
      </c>
      <c r="S35" s="8" t="str">
        <f aca="false">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</f>
        <v>527 590 525</v>
      </c>
      <c r="T35" s="9" t="str">
        <f aca="false">IF(Q35="Cursada aprobada",IF(AND(OR(L35="",COUNTIF($F$2:$F$46,L35)=0,COUNTIFS($F$2:$F$46,L35,$Q$2:$Q$46,"Aprobada")&gt;0),OR(M35="",COUNTIF($F$2:$F$46,M35)=0,COUNTIFS($F$2:$F$46,M35,$Q$2:$Q$46,"Aprobada")&gt;0),OR(N35="",COUNTIF($F$2:$F$46,N35)=0,COUNTIFS($F$2:$F$46,N35,$Q$2:$Q$46,"Aprobada")&gt;0),OR(O35="",COUNTIF($F$2:$F$46,O35)=0,COUNTIFS($F$2:$F$46,O35,$Q$2:$Q$46,"Aprobada")&gt;0),OR(P35="",COUNTIF($F$2:$F$46,P35)=0,COUNTIFS($F$2:$F$46,P35,$Q$2:$Q$46,"Aprobada")&gt;0)),"Sí","No"),"")</f>
        <v/>
      </c>
      <c r="U35" s="9" t="str">
        <f aca="false">IF(Q35="Aprobada",TRIM(IF(NOT(OR(L35="",COUNTIF($F$2:$F$46,L35)=0,COUNTIFS($F$2:$F$46,L35,$Q$2:$Q$46,"Aprobada")&gt;0)),L35&amp;" ","")&amp;IF(NOT(OR(M35="",COUNTIF($F$2:$F$46,M35)=0,COUNTIFS($F$2:$F$46,M35,$Q$2:$Q$46,"Aprobada")&gt;0)),M35&amp;" ","")&amp;IF(NOT(OR(N35="",COUNTIF($F$2:$F$46,N35)=0,COUNTIFS($F$2:$F$46,N35,$Q$2:$Q$46,"Aprobada")&gt;0)),N35&amp;" ","")&amp;IF(NOT(OR(O35="",COUNTIF($F$2:$F$46,O35)=0,COUNTIFS($F$2:$F$46,O35,$Q$2:$Q$46,"Aprobada")&gt;0)),O35&amp;" ","")&amp;IF(NOT(OR(P35="",COUNTIF($F$2:$F$46,P35)=0,COUNTIFS($F$2:$F$46,P35,$Q$2:$Q$46,"Aprobada")&gt;0)),P35&amp;" ","")),IF(Q35="Cursada aprobada",TRIM(IF(NOT(OR(L35="",COUNTIF($F$2:$F$46,L35)=0,COUNTIFS($F$2:$F$46,L35,$Q$2:$Q$46,"Aprobada")&gt;0,AND(Resumen!$B$15="La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","")),""))</f>
        <v/>
      </c>
    </row>
    <row r="36" customFormat="false" ht="15" hidden="false" customHeight="false" outlineLevel="0" collapsed="false">
      <c r="A36" s="8" t="s">
        <v>105</v>
      </c>
      <c r="B36" s="8" t="s">
        <v>106</v>
      </c>
      <c r="C36" s="9" t="n">
        <v>5</v>
      </c>
      <c r="D36" s="9" t="n">
        <v>2</v>
      </c>
      <c r="E36" s="9" t="s">
        <v>67</v>
      </c>
      <c r="F36" s="9" t="n">
        <v>510</v>
      </c>
      <c r="G36" s="8" t="s">
        <v>107</v>
      </c>
      <c r="H36" s="9"/>
      <c r="I36" s="9" t="n">
        <v>4</v>
      </c>
      <c r="J36" s="9"/>
      <c r="K36" s="9" t="n">
        <v>64</v>
      </c>
      <c r="L36" s="9" t="n">
        <v>525</v>
      </c>
      <c r="M36" s="9" t="n">
        <v>527</v>
      </c>
      <c r="N36" s="9"/>
      <c r="O36" s="9"/>
      <c r="P36" s="9"/>
      <c r="Q36" s="10" t="s">
        <v>62</v>
      </c>
      <c r="R36" s="9" t="str">
        <f aca="false">IF(Q36="Aprobada","Ya aprobada",IF(Q36="Cursada aprobada","Ya cursada",IF(AND(OR(L36="",COUNTIF($F$2:$F$46,L36)=0,COUNTIFS($F$2:$F$46,L36,$Q$2:$Q$46,"Aprobada")&gt;0,AND(Resumen!$B$15="La cursada aprobada",COUNTIFS($F$2:$F$46,L36,$Q$2:$Q$46,"Cursada aprobada")&gt;0)),OR(M36="",COUNTIF($F$2:$F$46,M36)=0,COUNTIFS($F$2:$F$46,M36,$Q$2:$Q$46,"Aprobada")&gt;0,AND(Resumen!$B$15="La cursada aprobada",COUNTIFS($F$2:$F$46,M36,$Q$2:$Q$46,"Cursada aprobada")&gt;0)),OR(N36="",COUNTIF($F$2:$F$46,N36)=0,COUNTIFS($F$2:$F$46,N36,$Q$2:$Q$46,"Aprobada")&gt;0,AND(Resumen!$B$15="La cursada aprobada",COUNTIFS($F$2:$F$46,N36,$Q$2:$Q$46,"Cursada aprobada")&gt;0)),OR(O36="",COUNTIF($F$2:$F$46,O36)=0,COUNTIFS($F$2:$F$46,O36,$Q$2:$Q$46,"Aprobada")&gt;0,AND(Resumen!$B$15="La cursada aprobada",COUNTIFS($F$2:$F$46,O36,$Q$2:$Q$46,"Cursada aprobada")&gt;0)),OR(P36="",COUNTIF($F$2:$F$46,P36)=0,COUNTIFS($F$2:$F$46,P36,$Q$2:$Q$46,"Aprobada")&gt;0,AND(Resumen!$B$15="La cursada aprobada",COUNTIFS($F$2:$F$46,P36,$Q$2:$Q$46,"Cursada aprobada")&gt;0))),"Sí","No")))</f>
        <v>No</v>
      </c>
      <c r="S36" s="8" t="str">
        <f aca="false">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</f>
        <v>525 527</v>
      </c>
      <c r="T36" s="9" t="str">
        <f aca="false">IF(Q36="Cursada aprobada",IF(AND(OR(L36="",COUNTIF($F$2:$F$46,L36)=0,COUNTIFS($F$2:$F$46,L36,$Q$2:$Q$46,"Aprobada")&gt;0),OR(M36="",COUNTIF($F$2:$F$46,M36)=0,COUNTIFS($F$2:$F$46,M36,$Q$2:$Q$46,"Aprobada")&gt;0),OR(N36="",COUNTIF($F$2:$F$46,N36)=0,COUNTIFS($F$2:$F$46,N36,$Q$2:$Q$46,"Aprobada")&gt;0),OR(O36="",COUNTIF($F$2:$F$46,O36)=0,COUNTIFS($F$2:$F$46,O36,$Q$2:$Q$46,"Aprobada")&gt;0),OR(P36="",COUNTIF($F$2:$F$46,P36)=0,COUNTIFS($F$2:$F$46,P36,$Q$2:$Q$46,"Aprobada")&gt;0)),"Sí","No"),"")</f>
        <v/>
      </c>
      <c r="U36" s="9" t="str">
        <f aca="false">IF(Q36="Aprobada",TRIM(IF(NOT(OR(L36="",COUNTIF($F$2:$F$46,L36)=0,COUNTIFS($F$2:$F$46,L36,$Q$2:$Q$46,"Aprobada")&gt;0)),L36&amp;" ","")&amp;IF(NOT(OR(M36="",COUNTIF($F$2:$F$46,M36)=0,COUNTIFS($F$2:$F$46,M36,$Q$2:$Q$46,"Aprobada")&gt;0)),M36&amp;" ","")&amp;IF(NOT(OR(N36="",COUNTIF($F$2:$F$46,N36)=0,COUNTIFS($F$2:$F$46,N36,$Q$2:$Q$46,"Aprobada")&gt;0)),N36&amp;" ","")&amp;IF(NOT(OR(O36="",COUNTIF($F$2:$F$46,O36)=0,COUNTIFS($F$2:$F$46,O36,$Q$2:$Q$46,"Aprobada")&gt;0)),O36&amp;" ","")&amp;IF(NOT(OR(P36="",COUNTIF($F$2:$F$46,P36)=0,COUNTIFS($F$2:$F$46,P36,$Q$2:$Q$46,"Aprobada")&gt;0)),P36&amp;" ","")),IF(Q36="Cursada aprobada",TRIM(IF(NOT(OR(L36="",COUNTIF($F$2:$F$46,L36)=0,COUNTIFS($F$2:$F$46,L36,$Q$2:$Q$46,"Aprobada")&gt;0,AND(Resumen!$B$15="La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","")),""))</f>
        <v/>
      </c>
    </row>
    <row r="37" customFormat="false" ht="15" hidden="false" customHeight="false" outlineLevel="0" collapsed="false">
      <c r="A37" s="8" t="s">
        <v>105</v>
      </c>
      <c r="B37" s="8" t="s">
        <v>108</v>
      </c>
      <c r="C37" s="9" t="n">
        <v>5</v>
      </c>
      <c r="D37" s="9" t="n">
        <v>2</v>
      </c>
      <c r="E37" s="9" t="s">
        <v>63</v>
      </c>
      <c r="F37" s="9" t="n">
        <v>560</v>
      </c>
      <c r="G37" s="8" t="s">
        <v>109</v>
      </c>
      <c r="H37" s="9"/>
      <c r="I37" s="9" t="n">
        <v>4</v>
      </c>
      <c r="J37" s="9"/>
      <c r="K37" s="9" t="n">
        <v>64</v>
      </c>
      <c r="L37" s="9" t="n">
        <v>349</v>
      </c>
      <c r="M37" s="9" t="n">
        <v>460</v>
      </c>
      <c r="N37" s="9"/>
      <c r="O37" s="9"/>
      <c r="P37" s="9"/>
      <c r="Q37" s="10" t="s">
        <v>62</v>
      </c>
      <c r="R37" s="9" t="str">
        <f aca="false">IF(Q37="Aprobada","Ya aprobada",IF(Q37="Cursada aprobada","Ya cursada",IF(AND(OR(L37="",COUNTIF($F$2:$F$46,L37)=0,COUNTIFS($F$2:$F$46,L37,$Q$2:$Q$46,"Aprobada")&gt;0,AND(Resumen!$B$15="La cursada aprobada",COUNTIFS($F$2:$F$46,L37,$Q$2:$Q$46,"Cursada aprobada")&gt;0)),OR(M37="",COUNTIF($F$2:$F$46,M37)=0,COUNTIFS($F$2:$F$46,M37,$Q$2:$Q$46,"Aprobada")&gt;0,AND(Resumen!$B$15="La cursada aprobada",COUNTIFS($F$2:$F$46,M37,$Q$2:$Q$46,"Cursada aprobada")&gt;0)),OR(N37="",COUNTIF($F$2:$F$46,N37)=0,COUNTIFS($F$2:$F$46,N37,$Q$2:$Q$46,"Aprobada")&gt;0,AND(Resumen!$B$15="La cursada aprobada",COUNTIFS($F$2:$F$46,N37,$Q$2:$Q$46,"Cursada aprobada")&gt;0)),OR(O37="",COUNTIF($F$2:$F$46,O37)=0,COUNTIFS($F$2:$F$46,O37,$Q$2:$Q$46,"Aprobada")&gt;0,AND(Resumen!$B$15="La cursada aprobada",COUNTIFS($F$2:$F$46,O37,$Q$2:$Q$46,"Cursada aprobada")&gt;0)),OR(P37="",COUNTIF($F$2:$F$46,P37)=0,COUNTIFS($F$2:$F$46,P37,$Q$2:$Q$46,"Aprobada")&gt;0,AND(Resumen!$B$15="La cursada aprobada",COUNTIFS($F$2:$F$46,P37,$Q$2:$Q$46,"Cursada aprobada")&gt;0))),"Sí","No")))</f>
        <v>No</v>
      </c>
      <c r="S37" s="8" t="str">
        <f aca="false">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</f>
        <v>349 460</v>
      </c>
      <c r="T37" s="9" t="str">
        <f aca="false">IF(Q37="Cursada aprobada",IF(AND(OR(L37="",COUNTIF($F$2:$F$46,L37)=0,COUNTIFS($F$2:$F$46,L37,$Q$2:$Q$46,"Aprobada")&gt;0),OR(M37="",COUNTIF($F$2:$F$46,M37)=0,COUNTIFS($F$2:$F$46,M37,$Q$2:$Q$46,"Aprobada")&gt;0),OR(N37="",COUNTIF($F$2:$F$46,N37)=0,COUNTIFS($F$2:$F$46,N37,$Q$2:$Q$46,"Aprobada")&gt;0),OR(O37="",COUNTIF($F$2:$F$46,O37)=0,COUNTIFS($F$2:$F$46,O37,$Q$2:$Q$46,"Aprobada")&gt;0),OR(P37="",COUNTIF($F$2:$F$46,P37)=0,COUNTIFS($F$2:$F$46,P37,$Q$2:$Q$46,"Aprobada")&gt;0)),"Sí","No"),"")</f>
        <v/>
      </c>
      <c r="U37" s="9" t="str">
        <f aca="false">IF(Q37="Aprobada",TRIM(IF(NOT(OR(L37="",COUNTIF($F$2:$F$46,L37)=0,COUNTIFS($F$2:$F$46,L37,$Q$2:$Q$46,"Aprobada")&gt;0)),L37&amp;" ","")&amp;IF(NOT(OR(M37="",COUNTIF($F$2:$F$46,M37)=0,COUNTIFS($F$2:$F$46,M37,$Q$2:$Q$46,"Aprobada")&gt;0)),M37&amp;" ","")&amp;IF(NOT(OR(N37="",COUNTIF($F$2:$F$46,N37)=0,COUNTIFS($F$2:$F$46,N37,$Q$2:$Q$46,"Aprobada")&gt;0)),N37&amp;" ","")&amp;IF(NOT(OR(O37="",COUNTIF($F$2:$F$46,O37)=0,COUNTIFS($F$2:$F$46,O37,$Q$2:$Q$46,"Aprobada")&gt;0)),O37&amp;" ","")&amp;IF(NOT(OR(P37="",COUNTIF($F$2:$F$46,P37)=0,COUNTIFS($F$2:$F$46,P37,$Q$2:$Q$46,"Aprobada")&gt;0)),P37&amp;" ","")),IF(Q37="Cursada aprobada",TRIM(IF(NOT(OR(L37="",COUNTIF($F$2:$F$46,L37)=0,COUNTIFS($F$2:$F$46,L37,$Q$2:$Q$46,"Aprobada")&gt;0,AND(Resumen!$B$15="La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","")),""))</f>
        <v/>
      </c>
    </row>
    <row r="38" customFormat="false" ht="15" hidden="false" customHeight="false" outlineLevel="0" collapsed="false">
      <c r="A38" s="8" t="s">
        <v>105</v>
      </c>
      <c r="B38" s="8" t="s">
        <v>110</v>
      </c>
      <c r="C38" s="9" t="n">
        <v>5</v>
      </c>
      <c r="D38" s="9" t="n">
        <v>2</v>
      </c>
      <c r="E38" s="9" t="s">
        <v>63</v>
      </c>
      <c r="F38" s="9" t="n">
        <v>565</v>
      </c>
      <c r="G38" s="8" t="s">
        <v>111</v>
      </c>
      <c r="H38" s="9"/>
      <c r="I38" s="9" t="n">
        <v>4</v>
      </c>
      <c r="J38" s="9"/>
      <c r="K38" s="9" t="n">
        <v>64</v>
      </c>
      <c r="L38" s="9" t="n">
        <v>430</v>
      </c>
      <c r="M38" s="9" t="n">
        <v>425</v>
      </c>
      <c r="N38" s="9" t="n">
        <v>490</v>
      </c>
      <c r="O38" s="9" t="n">
        <v>491</v>
      </c>
      <c r="P38" s="9"/>
      <c r="Q38" s="10" t="s">
        <v>62</v>
      </c>
      <c r="R38" s="9" t="str">
        <f aca="false">IF(Q38="Aprobada","Ya aprobada",IF(Q38="Cursada aprobada","Ya cursada",IF(AND(OR(L38="",COUNTIF($F$2:$F$46,L38)=0,COUNTIFS($F$2:$F$46,L38,$Q$2:$Q$46,"Aprobada")&gt;0,AND(Resumen!$B$15="La cursada aprobada",COUNTIFS($F$2:$F$46,L38,$Q$2:$Q$46,"Cursada aprobada")&gt;0)),OR(M38="",COUNTIF($F$2:$F$46,M38)=0,COUNTIFS($F$2:$F$46,M38,$Q$2:$Q$46,"Aprobada")&gt;0,AND(Resumen!$B$15="La cursada aprobada",COUNTIFS($F$2:$F$46,M38,$Q$2:$Q$46,"Cursada aprobada")&gt;0)),OR(N38="",COUNTIF($F$2:$F$46,N38)=0,COUNTIFS($F$2:$F$46,N38,$Q$2:$Q$46,"Aprobada")&gt;0,AND(Resumen!$B$15="La cursada aprobada",COUNTIFS($F$2:$F$46,N38,$Q$2:$Q$46,"Cursada aprobada")&gt;0)),OR(O38="",COUNTIF($F$2:$F$46,O38)=0,COUNTIFS($F$2:$F$46,O38,$Q$2:$Q$46,"Aprobada")&gt;0,AND(Resumen!$B$15="La cursada aprobada",COUNTIFS($F$2:$F$46,O38,$Q$2:$Q$46,"Cursada aprobada")&gt;0)),OR(P38="",COUNTIF($F$2:$F$46,P38)=0,COUNTIFS($F$2:$F$46,P38,$Q$2:$Q$46,"Aprobada")&gt;0,AND(Resumen!$B$15="La cursada aprobada",COUNTIFS($F$2:$F$46,P38,$Q$2:$Q$46,"Cursada aprobada")&gt;0))),"Sí","No")))</f>
        <v>No</v>
      </c>
      <c r="S38" s="8" t="str">
        <f aca="false">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</f>
        <v>430 425 490 491</v>
      </c>
      <c r="T38" s="9" t="str">
        <f aca="false">IF(Q38="Cursada aprobada",IF(AND(OR(L38="",COUNTIF($F$2:$F$46,L38)=0,COUNTIFS($F$2:$F$46,L38,$Q$2:$Q$46,"Aprobada")&gt;0),OR(M38="",COUNTIF($F$2:$F$46,M38)=0,COUNTIFS($F$2:$F$46,M38,$Q$2:$Q$46,"Aprobada")&gt;0),OR(N38="",COUNTIF($F$2:$F$46,N38)=0,COUNTIFS($F$2:$F$46,N38,$Q$2:$Q$46,"Aprobada")&gt;0),OR(O38="",COUNTIF($F$2:$F$46,O38)=0,COUNTIFS($F$2:$F$46,O38,$Q$2:$Q$46,"Aprobada")&gt;0),OR(P38="",COUNTIF($F$2:$F$46,P38)=0,COUNTIFS($F$2:$F$46,P38,$Q$2:$Q$46,"Aprobada")&gt;0)),"Sí","No"),"")</f>
        <v/>
      </c>
      <c r="U38" s="9" t="str">
        <f aca="false">IF(Q38="Aprobada",TRIM(IF(NOT(OR(L38="",COUNTIF($F$2:$F$46,L38)=0,COUNTIFS($F$2:$F$46,L38,$Q$2:$Q$46,"Aprobada")&gt;0)),L38&amp;" ","")&amp;IF(NOT(OR(M38="",COUNTIF($F$2:$F$46,M38)=0,COUNTIFS($F$2:$F$46,M38,$Q$2:$Q$46,"Aprobada")&gt;0)),M38&amp;" ","")&amp;IF(NOT(OR(N38="",COUNTIF($F$2:$F$46,N38)=0,COUNTIFS($F$2:$F$46,N38,$Q$2:$Q$46,"Aprobada")&gt;0)),N38&amp;" ","")&amp;IF(NOT(OR(O38="",COUNTIF($F$2:$F$46,O38)=0,COUNTIFS($F$2:$F$46,O38,$Q$2:$Q$46,"Aprobada")&gt;0)),O38&amp;" ","")&amp;IF(NOT(OR(P38="",COUNTIF($F$2:$F$46,P38)=0,COUNTIFS($F$2:$F$46,P38,$Q$2:$Q$46,"Aprobada")&gt;0)),P38&amp;" ","")),IF(Q38="Cursada aprobada",TRIM(IF(NOT(OR(L38="",COUNTIF($F$2:$F$46,L38)=0,COUNTIFS($F$2:$F$46,L38,$Q$2:$Q$46,"Aprobada")&gt;0,AND(Resumen!$B$15="La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","")),""))</f>
        <v/>
      </c>
    </row>
    <row r="39" customFormat="false" ht="15" hidden="false" customHeight="false" outlineLevel="0" collapsed="false">
      <c r="A39" s="8" t="s">
        <v>105</v>
      </c>
      <c r="B39" s="8" t="s">
        <v>112</v>
      </c>
      <c r="C39" s="9" t="n">
        <v>5</v>
      </c>
      <c r="D39" s="9" t="n">
        <v>2</v>
      </c>
      <c r="E39" s="9" t="s">
        <v>77</v>
      </c>
      <c r="F39" s="9" t="n">
        <v>592</v>
      </c>
      <c r="G39" s="8" t="s">
        <v>113</v>
      </c>
      <c r="H39" s="9"/>
      <c r="I39" s="9" t="n">
        <v>4</v>
      </c>
      <c r="J39" s="9"/>
      <c r="K39" s="9" t="n">
        <v>64</v>
      </c>
      <c r="L39" s="9"/>
      <c r="M39" s="9"/>
      <c r="N39" s="9"/>
      <c r="O39" s="9"/>
      <c r="P39" s="9"/>
      <c r="Q39" s="10" t="s">
        <v>62</v>
      </c>
      <c r="R39" s="9" t="str">
        <f aca="false">IF(Q39="Aprobada","Ya aprobada",IF(Q39="Cursada aprobada","Ya cursada",IF(AND(OR(L39="",COUNTIF($F$2:$F$46,L39)=0,COUNTIFS($F$2:$F$46,L39,$Q$2:$Q$46,"Aprobada")&gt;0,AND(Resumen!$B$15="La cursada aprobada",COUNTIFS($F$2:$F$46,L39,$Q$2:$Q$46,"Cursada aprobada")&gt;0)),OR(M39="",COUNTIF($F$2:$F$46,M39)=0,COUNTIFS($F$2:$F$46,M39,$Q$2:$Q$46,"Aprobada")&gt;0,AND(Resumen!$B$15="La cursada aprobada",COUNTIFS($F$2:$F$46,M39,$Q$2:$Q$46,"Cursada aprobada")&gt;0)),OR(N39="",COUNTIF($F$2:$F$46,N39)=0,COUNTIFS($F$2:$F$46,N39,$Q$2:$Q$46,"Aprobada")&gt;0,AND(Resumen!$B$15="La cursada aprobada",COUNTIFS($F$2:$F$46,N39,$Q$2:$Q$46,"Cursada aprobada")&gt;0)),OR(O39="",COUNTIF($F$2:$F$46,O39)=0,COUNTIFS($F$2:$F$46,O39,$Q$2:$Q$46,"Aprobada")&gt;0,AND(Resumen!$B$15="La cursada aprobada",COUNTIFS($F$2:$F$46,O39,$Q$2:$Q$46,"Cursada aprobada")&gt;0)),OR(P39="",COUNTIF($F$2:$F$46,P39)=0,COUNTIFS($F$2:$F$46,P39,$Q$2:$Q$46,"Aprobada")&gt;0,AND(Resumen!$B$15="La cursada aprobada",COUNTIFS($F$2:$F$46,P39,$Q$2:$Q$46,"Cursada aprobada")&gt;0))),"Sí","No")))</f>
        <v>Sí</v>
      </c>
      <c r="S39" s="8" t="str">
        <f aca="false">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</f>
        <v/>
      </c>
      <c r="T39" s="9" t="str">
        <f aca="false">IF(Q39="Cursada aprobada",IF(AND(OR(L39="",COUNTIF($F$2:$F$46,L39)=0,COUNTIFS($F$2:$F$46,L39,$Q$2:$Q$46,"Aprobada")&gt;0),OR(M39="",COUNTIF($F$2:$F$46,M39)=0,COUNTIFS($F$2:$F$46,M39,$Q$2:$Q$46,"Aprobada")&gt;0),OR(N39="",COUNTIF($F$2:$F$46,N39)=0,COUNTIFS($F$2:$F$46,N39,$Q$2:$Q$46,"Aprobada")&gt;0),OR(O39="",COUNTIF($F$2:$F$46,O39)=0,COUNTIFS($F$2:$F$46,O39,$Q$2:$Q$46,"Aprobada")&gt;0),OR(P39="",COUNTIF($F$2:$F$46,P39)=0,COUNTIFS($F$2:$F$46,P39,$Q$2:$Q$46,"Aprobada")&gt;0)),"Sí","No"),"")</f>
        <v/>
      </c>
      <c r="U39" s="9" t="str">
        <f aca="false">IF(Q39="Aprobada",TRIM(IF(NOT(OR(L39="",COUNTIF($F$2:$F$46,L39)=0,COUNTIFS($F$2:$F$46,L39,$Q$2:$Q$46,"Aprobada")&gt;0)),L39&amp;" ","")&amp;IF(NOT(OR(M39="",COUNTIF($F$2:$F$46,M39)=0,COUNTIFS($F$2:$F$46,M39,$Q$2:$Q$46,"Aprobada")&gt;0)),M39&amp;" ","")&amp;IF(NOT(OR(N39="",COUNTIF($F$2:$F$46,N39)=0,COUNTIFS($F$2:$F$46,N39,$Q$2:$Q$46,"Aprobada")&gt;0)),N39&amp;" ","")&amp;IF(NOT(OR(O39="",COUNTIF($F$2:$F$46,O39)=0,COUNTIFS($F$2:$F$46,O39,$Q$2:$Q$46,"Aprobada")&gt;0)),O39&amp;" ","")&amp;IF(NOT(OR(P39="",COUNTIF($F$2:$F$46,P39)=0,COUNTIFS($F$2:$F$46,P39,$Q$2:$Q$46,"Aprobada")&gt;0)),P39&amp;" ","")),IF(Q39="Cursada aprobada",TRIM(IF(NOT(OR(L39="",COUNTIF($F$2:$F$46,L39)=0,COUNTIFS($F$2:$F$46,L39,$Q$2:$Q$46,"Aprobada")&gt;0,AND(Resumen!$B$15="La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","")),""))</f>
        <v/>
      </c>
    </row>
    <row r="40" customFormat="false" ht="15" hidden="false" customHeight="false" outlineLevel="0" collapsed="false">
      <c r="A40" s="8" t="s">
        <v>105</v>
      </c>
      <c r="B40" s="8" t="s">
        <v>114</v>
      </c>
      <c r="C40" s="9" t="n">
        <v>5</v>
      </c>
      <c r="D40" s="9" t="n">
        <v>2</v>
      </c>
      <c r="E40" s="9" t="s">
        <v>59</v>
      </c>
      <c r="F40" s="9" t="n">
        <v>504</v>
      </c>
      <c r="G40" s="8" t="s">
        <v>115</v>
      </c>
      <c r="H40" s="9"/>
      <c r="I40" s="9" t="n">
        <v>4</v>
      </c>
      <c r="J40" s="9"/>
      <c r="K40" s="9" t="n">
        <v>64</v>
      </c>
      <c r="L40" s="9" t="n">
        <v>430</v>
      </c>
      <c r="M40" s="9"/>
      <c r="N40" s="9"/>
      <c r="O40" s="9"/>
      <c r="P40" s="9"/>
      <c r="Q40" s="10" t="s">
        <v>62</v>
      </c>
      <c r="R40" s="9" t="str">
        <f aca="false">IF(Q40="Aprobada","Ya aprobada",IF(Q40="Cursada aprobada","Ya cursada",IF(AND(OR(L40="",COUNTIF($F$2:$F$46,L40)=0,COUNTIFS($F$2:$F$46,L40,$Q$2:$Q$46,"Aprobada")&gt;0,AND(Resumen!$B$15="La cursada aprobada",COUNTIFS($F$2:$F$46,L40,$Q$2:$Q$46,"Cursada aprobada")&gt;0)),OR(M40="",COUNTIF($F$2:$F$46,M40)=0,COUNTIFS($F$2:$F$46,M40,$Q$2:$Q$46,"Aprobada")&gt;0,AND(Resumen!$B$15="La cursada aprobada",COUNTIFS($F$2:$F$46,M40,$Q$2:$Q$46,"Cursada aprobada")&gt;0)),OR(N40="",COUNTIF($F$2:$F$46,N40)=0,COUNTIFS($F$2:$F$46,N40,$Q$2:$Q$46,"Aprobada")&gt;0,AND(Resumen!$B$15="La cursada aprobada",COUNTIFS($F$2:$F$46,N40,$Q$2:$Q$46,"Cursada aprobada")&gt;0)),OR(O40="",COUNTIF($F$2:$F$46,O40)=0,COUNTIFS($F$2:$F$46,O40,$Q$2:$Q$46,"Aprobada")&gt;0,AND(Resumen!$B$15="La cursada aprobada",COUNTIFS($F$2:$F$46,O40,$Q$2:$Q$46,"Cursada aprobada")&gt;0)),OR(P40="",COUNTIF($F$2:$F$46,P40)=0,COUNTIFS($F$2:$F$46,P40,$Q$2:$Q$46,"Aprobada")&gt;0,AND(Resumen!$B$15="La cursada aprobada",COUNTIFS($F$2:$F$46,P40,$Q$2:$Q$46,"Cursada aprobada")&gt;0))),"Sí","No")))</f>
        <v>No</v>
      </c>
      <c r="S40" s="8" t="str">
        <f aca="false">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</f>
        <v>430</v>
      </c>
      <c r="T40" s="9" t="str">
        <f aca="false">IF(Q40="Cursada aprobada",IF(AND(OR(L40="",COUNTIF($F$2:$F$46,L40)=0,COUNTIFS($F$2:$F$46,L40,$Q$2:$Q$46,"Aprobada")&gt;0),OR(M40="",COUNTIF($F$2:$F$46,M40)=0,COUNTIFS($F$2:$F$46,M40,$Q$2:$Q$46,"Aprobada")&gt;0),OR(N40="",COUNTIF($F$2:$F$46,N40)=0,COUNTIFS($F$2:$F$46,N40,$Q$2:$Q$46,"Aprobada")&gt;0),OR(O40="",COUNTIF($F$2:$F$46,O40)=0,COUNTIFS($F$2:$F$46,O40,$Q$2:$Q$46,"Aprobada")&gt;0),OR(P40="",COUNTIF($F$2:$F$46,P40)=0,COUNTIFS($F$2:$F$46,P40,$Q$2:$Q$46,"Aprobada")&gt;0)),"Sí","No"),"")</f>
        <v/>
      </c>
      <c r="U40" s="9" t="str">
        <f aca="false">IF(Q40="Aprobada",TRIM(IF(NOT(OR(L40="",COUNTIF($F$2:$F$46,L40)=0,COUNTIFS($F$2:$F$46,L40,$Q$2:$Q$46,"Aprobada")&gt;0)),L40&amp;" ","")&amp;IF(NOT(OR(M40="",COUNTIF($F$2:$F$46,M40)=0,COUNTIFS($F$2:$F$46,M40,$Q$2:$Q$46,"Aprobada")&gt;0)),M40&amp;" ","")&amp;IF(NOT(OR(N40="",COUNTIF($F$2:$F$46,N40)=0,COUNTIFS($F$2:$F$46,N40,$Q$2:$Q$46,"Aprobada")&gt;0)),N40&amp;" ","")&amp;IF(NOT(OR(O40="",COUNTIF($F$2:$F$46,O40)=0,COUNTIFS($F$2:$F$46,O40,$Q$2:$Q$46,"Aprobada")&gt;0)),O40&amp;" ","")&amp;IF(NOT(OR(P40="",COUNTIF($F$2:$F$46,P40)=0,COUNTIFS($F$2:$F$46,P40,$Q$2:$Q$46,"Aprobada")&gt;0)),P40&amp;" ","")),IF(Q40="Cursada aprobada",TRIM(IF(NOT(OR(L40="",COUNTIF($F$2:$F$46,L40)=0,COUNTIFS($F$2:$F$46,L40,$Q$2:$Q$46,"Aprobada")&gt;0,AND(Resumen!$B$15="La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","")),""))</f>
        <v/>
      </c>
    </row>
    <row r="41" customFormat="false" ht="15" hidden="false" customHeight="false" outlineLevel="0" collapsed="false">
      <c r="A41" s="8" t="s">
        <v>116</v>
      </c>
      <c r="B41" s="8"/>
      <c r="C41" s="9"/>
      <c r="D41" s="9"/>
      <c r="E41" s="9" t="s">
        <v>99</v>
      </c>
      <c r="F41" s="9" t="n">
        <v>595</v>
      </c>
      <c r="G41" s="8" t="s">
        <v>117</v>
      </c>
      <c r="H41" s="9"/>
      <c r="I41" s="9"/>
      <c r="J41" s="9"/>
      <c r="K41" s="9"/>
      <c r="L41" s="9"/>
      <c r="M41" s="9"/>
      <c r="N41" s="9"/>
      <c r="O41" s="9"/>
      <c r="P41" s="9"/>
      <c r="Q41" s="10" t="s">
        <v>62</v>
      </c>
      <c r="R41" s="9" t="str">
        <f aca="false">IF(Q41="Aprobada","Ya aprobada",IF(Q41="Cursada aprobada","Ya cursada",IF(AND(OR(L41="",COUNTIF($F$2:$F$46,L41)=0,COUNTIFS($F$2:$F$46,L41,$Q$2:$Q$46,"Aprobada")&gt;0,AND(Resumen!$B$15="La cursada aprobada",COUNTIFS($F$2:$F$46,L41,$Q$2:$Q$46,"Cursada aprobada")&gt;0)),OR(M41="",COUNTIF($F$2:$F$46,M41)=0,COUNTIFS($F$2:$F$46,M41,$Q$2:$Q$46,"Aprobada")&gt;0,AND(Resumen!$B$15="La cursada aprobada",COUNTIFS($F$2:$F$46,M41,$Q$2:$Q$46,"Cursada aprobada")&gt;0)),OR(N41="",COUNTIF($F$2:$F$46,N41)=0,COUNTIFS($F$2:$F$46,N41,$Q$2:$Q$46,"Aprobada")&gt;0,AND(Resumen!$B$15="La cursada aprobada",COUNTIFS($F$2:$F$46,N41,$Q$2:$Q$46,"Cursada aprobada")&gt;0)),OR(O41="",COUNTIF($F$2:$F$46,O41)=0,COUNTIFS($F$2:$F$46,O41,$Q$2:$Q$46,"Aprobada")&gt;0,AND(Resumen!$B$15="La cursada aprobada",COUNTIFS($F$2:$F$46,O41,$Q$2:$Q$46,"Cursada aprobada")&gt;0)),OR(P41="",COUNTIF($F$2:$F$46,P41)=0,COUNTIFS($F$2:$F$46,P41,$Q$2:$Q$46,"Aprobada")&gt;0,AND(Resumen!$B$15="La cursada aprobada",COUNTIFS($F$2:$F$46,P41,$Q$2:$Q$46,"Cursada aprobada")&gt;0))),"Sí","No")))</f>
        <v>Sí</v>
      </c>
      <c r="S41" s="8" t="str">
        <f aca="false">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</f>
        <v/>
      </c>
      <c r="T41" s="9" t="str">
        <f aca="false">IF(Q41="Cursada aprobada",IF(AND(OR(L41="",COUNTIF($F$2:$F$46,L41)=0,COUNTIFS($F$2:$F$46,L41,$Q$2:$Q$46,"Aprobada")&gt;0),OR(M41="",COUNTIF($F$2:$F$46,M41)=0,COUNTIFS($F$2:$F$46,M41,$Q$2:$Q$46,"Aprobada")&gt;0),OR(N41="",COUNTIF($F$2:$F$46,N41)=0,COUNTIFS($F$2:$F$46,N41,$Q$2:$Q$46,"Aprobada")&gt;0),OR(O41="",COUNTIF($F$2:$F$46,O41)=0,COUNTIFS($F$2:$F$46,O41,$Q$2:$Q$46,"Aprobada")&gt;0),OR(P41="",COUNTIF($F$2:$F$46,P41)=0,COUNTIFS($F$2:$F$46,P41,$Q$2:$Q$46,"Aprobada")&gt;0)),"Sí","No"),"")</f>
        <v/>
      </c>
      <c r="U41" s="9" t="str">
        <f aca="false">IF(Q41="Aprobada",TRIM(IF(NOT(OR(L41="",COUNTIF($F$2:$F$46,L41)=0,COUNTIFS($F$2:$F$46,L41,$Q$2:$Q$46,"Aprobada")&gt;0)),L41&amp;" ","")&amp;IF(NOT(OR(M41="",COUNTIF($F$2:$F$46,M41)=0,COUNTIFS($F$2:$F$46,M41,$Q$2:$Q$46,"Aprobada")&gt;0)),M41&amp;" ","")&amp;IF(NOT(OR(N41="",COUNTIF($F$2:$F$46,N41)=0,COUNTIFS($F$2:$F$46,N41,$Q$2:$Q$46,"Aprobada")&gt;0)),N41&amp;" ","")&amp;IF(NOT(OR(O41="",COUNTIF($F$2:$F$46,O41)=0,COUNTIFS($F$2:$F$46,O41,$Q$2:$Q$46,"Aprobada")&gt;0)),O41&amp;" ","")&amp;IF(NOT(OR(P41="",COUNTIF($F$2:$F$46,P41)=0,COUNTIFS($F$2:$F$46,P41,$Q$2:$Q$46,"Aprobada")&gt;0)),P41&amp;" ","")),IF(Q41="Cursada aprobada",TRIM(IF(NOT(OR(L41="",COUNTIF($F$2:$F$46,L41)=0,COUNTIFS($F$2:$F$46,L41,$Q$2:$Q$46,"Aprobada")&gt;0,AND(Resumen!$B$15="La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","")),""))</f>
        <v/>
      </c>
    </row>
    <row r="42" customFormat="false" ht="15" hidden="false" customHeight="false" outlineLevel="0" collapsed="false">
      <c r="A42" s="8" t="s">
        <v>116</v>
      </c>
      <c r="B42" s="8"/>
      <c r="C42" s="9"/>
      <c r="D42" s="9"/>
      <c r="E42" s="9" t="s">
        <v>63</v>
      </c>
      <c r="F42" s="9" t="n">
        <v>300</v>
      </c>
      <c r="G42" s="8" t="s">
        <v>118</v>
      </c>
      <c r="H42" s="9"/>
      <c r="I42" s="9"/>
      <c r="J42" s="9"/>
      <c r="K42" s="9"/>
      <c r="L42" s="9"/>
      <c r="M42" s="9"/>
      <c r="N42" s="9"/>
      <c r="O42" s="9"/>
      <c r="P42" s="9"/>
      <c r="Q42" s="10" t="s">
        <v>62</v>
      </c>
      <c r="R42" s="9" t="str">
        <f aca="false">IF(Q42="Aprobada","Ya aprobada",IF(Q42="Cursada aprobada","Ya cursada",IF(AND(OR(L42="",COUNTIF($F$2:$F$46,L42)=0,COUNTIFS($F$2:$F$46,L42,$Q$2:$Q$46,"Aprobada")&gt;0,AND(Resumen!$B$15="La cursada aprobada",COUNTIFS($F$2:$F$46,L42,$Q$2:$Q$46,"Cursada aprobada")&gt;0)),OR(M42="",COUNTIF($F$2:$F$46,M42)=0,COUNTIFS($F$2:$F$46,M42,$Q$2:$Q$46,"Aprobada")&gt;0,AND(Resumen!$B$15="La cursada aprobada",COUNTIFS($F$2:$F$46,M42,$Q$2:$Q$46,"Cursada aprobada")&gt;0)),OR(N42="",COUNTIF($F$2:$F$46,N42)=0,COUNTIFS($F$2:$F$46,N42,$Q$2:$Q$46,"Aprobada")&gt;0,AND(Resumen!$B$15="La cursada aprobada",COUNTIFS($F$2:$F$46,N42,$Q$2:$Q$46,"Cursada aprobada")&gt;0)),OR(O42="",COUNTIF($F$2:$F$46,O42)=0,COUNTIFS($F$2:$F$46,O42,$Q$2:$Q$46,"Aprobada")&gt;0,AND(Resumen!$B$15="La cursada aprobada",COUNTIFS($F$2:$F$46,O42,$Q$2:$Q$46,"Cursada aprobada")&gt;0)),OR(P42="",COUNTIF($F$2:$F$46,P42)=0,COUNTIFS($F$2:$F$46,P42,$Q$2:$Q$46,"Aprobada")&gt;0,AND(Resumen!$B$15="La cursada aprobada",COUNTIFS($F$2:$F$46,P42,$Q$2:$Q$46,"Cursada aprobada")&gt;0))),"Sí","No")))</f>
        <v>Sí</v>
      </c>
      <c r="S42" s="8" t="str">
        <f aca="false">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</f>
        <v/>
      </c>
      <c r="T42" s="9" t="str">
        <f aca="false">IF(Q42="Cursada aprobada",IF(AND(OR(L42="",COUNTIF($F$2:$F$46,L42)=0,COUNTIFS($F$2:$F$46,L42,$Q$2:$Q$46,"Aprobada")&gt;0),OR(M42="",COUNTIF($F$2:$F$46,M42)=0,COUNTIFS($F$2:$F$46,M42,$Q$2:$Q$46,"Aprobada")&gt;0),OR(N42="",COUNTIF($F$2:$F$46,N42)=0,COUNTIFS($F$2:$F$46,N42,$Q$2:$Q$46,"Aprobada")&gt;0),OR(O42="",COUNTIF($F$2:$F$46,O42)=0,COUNTIFS($F$2:$F$46,O42,$Q$2:$Q$46,"Aprobada")&gt;0),OR(P42="",COUNTIF($F$2:$F$46,P42)=0,COUNTIFS($F$2:$F$46,P42,$Q$2:$Q$46,"Aprobada")&gt;0)),"Sí","No"),"")</f>
        <v/>
      </c>
      <c r="U42" s="9" t="str">
        <f aca="false">IF(Q42="Aprobada",TRIM(IF(NOT(OR(L42="",COUNTIF($F$2:$F$46,L42)=0,COUNTIFS($F$2:$F$46,L42,$Q$2:$Q$46,"Aprobada")&gt;0)),L42&amp;" ","")&amp;IF(NOT(OR(M42="",COUNTIF($F$2:$F$46,M42)=0,COUNTIFS($F$2:$F$46,M42,$Q$2:$Q$46,"Aprobada")&gt;0)),M42&amp;" ","")&amp;IF(NOT(OR(N42="",COUNTIF($F$2:$F$46,N42)=0,COUNTIFS($F$2:$F$46,N42,$Q$2:$Q$46,"Aprobada")&gt;0)),N42&amp;" ","")&amp;IF(NOT(OR(O42="",COUNTIF($F$2:$F$46,O42)=0,COUNTIFS($F$2:$F$46,O42,$Q$2:$Q$46,"Aprobada")&gt;0)),O42&amp;" ","")&amp;IF(NOT(OR(P42="",COUNTIF($F$2:$F$46,P42)=0,COUNTIFS($F$2:$F$46,P42,$Q$2:$Q$46,"Aprobada")&gt;0)),P42&amp;" ","")),IF(Q42="Cursada aprobada",TRIM(IF(NOT(OR(L42="",COUNTIF($F$2:$F$46,L42)=0,COUNTIFS($F$2:$F$46,L42,$Q$2:$Q$46,"Aprobada")&gt;0,AND(Resumen!$B$15="La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","")),""))</f>
        <v/>
      </c>
    </row>
    <row r="43" customFormat="false" ht="15" hidden="false" customHeight="false" outlineLevel="0" collapsed="false">
      <c r="A43" s="8" t="s">
        <v>116</v>
      </c>
      <c r="B43" s="8"/>
      <c r="C43" s="9"/>
      <c r="D43" s="9"/>
      <c r="E43" s="9" t="s">
        <v>99</v>
      </c>
      <c r="F43" s="9" t="n">
        <v>299</v>
      </c>
      <c r="G43" s="8" t="s">
        <v>119</v>
      </c>
      <c r="H43" s="9"/>
      <c r="I43" s="9"/>
      <c r="J43" s="9"/>
      <c r="K43" s="9"/>
      <c r="L43" s="9"/>
      <c r="M43" s="9"/>
      <c r="N43" s="9"/>
      <c r="O43" s="9"/>
      <c r="P43" s="9"/>
      <c r="Q43" s="10" t="s">
        <v>62</v>
      </c>
      <c r="R43" s="9" t="str">
        <f aca="false">IF(Q43="Aprobada","Ya aprobada",IF(Q43="Cursada aprobada","Ya cursada",IF(AND(OR(L43="",COUNTIF($F$2:$F$46,L43)=0,COUNTIFS($F$2:$F$46,L43,$Q$2:$Q$46,"Aprobada")&gt;0,AND(Resumen!$B$15="La cursada aprobada",COUNTIFS($F$2:$F$46,L43,$Q$2:$Q$46,"Cursada aprobada")&gt;0)),OR(M43="",COUNTIF($F$2:$F$46,M43)=0,COUNTIFS($F$2:$F$46,M43,$Q$2:$Q$46,"Aprobada")&gt;0,AND(Resumen!$B$15="La cursada aprobada",COUNTIFS($F$2:$F$46,M43,$Q$2:$Q$46,"Cursada aprobada")&gt;0)),OR(N43="",COUNTIF($F$2:$F$46,N43)=0,COUNTIFS($F$2:$F$46,N43,$Q$2:$Q$46,"Aprobada")&gt;0,AND(Resumen!$B$15="La cursada aprobada",COUNTIFS($F$2:$F$46,N43,$Q$2:$Q$46,"Cursada aprobada")&gt;0)),OR(O43="",COUNTIF($F$2:$F$46,O43)=0,COUNTIFS($F$2:$F$46,O43,$Q$2:$Q$46,"Aprobada")&gt;0,AND(Resumen!$B$15="La cursada aprobada",COUNTIFS($F$2:$F$46,O43,$Q$2:$Q$46,"Cursada aprobada")&gt;0)),OR(P43="",COUNTIF($F$2:$F$46,P43)=0,COUNTIFS($F$2:$F$46,P43,$Q$2:$Q$46,"Aprobada")&gt;0,AND(Resumen!$B$15="La cursada aprobada",COUNTIFS($F$2:$F$46,P43,$Q$2:$Q$46,"Cursada aprobada")&gt;0))),"Sí","No")))</f>
        <v>Sí</v>
      </c>
      <c r="S43" s="8" t="str">
        <f aca="false">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</f>
        <v/>
      </c>
      <c r="T43" s="9" t="str">
        <f aca="false">IF(Q43="Cursada aprobada",IF(AND(OR(L43="",COUNTIF($F$2:$F$46,L43)=0,COUNTIFS($F$2:$F$46,L43,$Q$2:$Q$46,"Aprobada")&gt;0),OR(M43="",COUNTIF($F$2:$F$46,M43)=0,COUNTIFS($F$2:$F$46,M43,$Q$2:$Q$46,"Aprobada")&gt;0),OR(N43="",COUNTIF($F$2:$F$46,N43)=0,COUNTIFS($F$2:$F$46,N43,$Q$2:$Q$46,"Aprobada")&gt;0),OR(O43="",COUNTIF($F$2:$F$46,O43)=0,COUNTIFS($F$2:$F$46,O43,$Q$2:$Q$46,"Aprobada")&gt;0),OR(P43="",COUNTIF($F$2:$F$46,P43)=0,COUNTIFS($F$2:$F$46,P43,$Q$2:$Q$46,"Aprobada")&gt;0)),"Sí","No"),"")</f>
        <v/>
      </c>
      <c r="U43" s="9" t="str">
        <f aca="false">IF(Q43="Aprobada",TRIM(IF(NOT(OR(L43="",COUNTIF($F$2:$F$46,L43)=0,COUNTIFS($F$2:$F$46,L43,$Q$2:$Q$46,"Aprobada")&gt;0)),L43&amp;" ","")&amp;IF(NOT(OR(M43="",COUNTIF($F$2:$F$46,M43)=0,COUNTIFS($F$2:$F$46,M43,$Q$2:$Q$46,"Aprobada")&gt;0)),M43&amp;" ","")&amp;IF(NOT(OR(N43="",COUNTIF($F$2:$F$46,N43)=0,COUNTIFS($F$2:$F$46,N43,$Q$2:$Q$46,"Aprobada")&gt;0)),N43&amp;" ","")&amp;IF(NOT(OR(O43="",COUNTIF($F$2:$F$46,O43)=0,COUNTIFS($F$2:$F$46,O43,$Q$2:$Q$46,"Aprobada")&gt;0)),O43&amp;" ","")&amp;IF(NOT(OR(P43="",COUNTIF($F$2:$F$46,P43)=0,COUNTIFS($F$2:$F$46,P43,$Q$2:$Q$46,"Aprobada")&gt;0)),P43&amp;" ","")),IF(Q43="Cursada aprobada",TRIM(IF(NOT(OR(L43="",COUNTIF($F$2:$F$46,L43)=0,COUNTIFS($F$2:$F$46,L43,$Q$2:$Q$46,"Aprobada")&gt;0,AND(Resumen!$B$15="La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","")),""))</f>
        <v/>
      </c>
    </row>
    <row r="44" customFormat="false" ht="15" hidden="false" customHeight="false" outlineLevel="0" collapsed="false">
      <c r="A44" s="8" t="s">
        <v>116</v>
      </c>
      <c r="B44" s="8"/>
      <c r="C44" s="9"/>
      <c r="D44" s="9"/>
      <c r="E44" s="9" t="s">
        <v>120</v>
      </c>
      <c r="F44" s="9" t="n">
        <v>296</v>
      </c>
      <c r="G44" s="8" t="s">
        <v>121</v>
      </c>
      <c r="H44" s="9"/>
      <c r="I44" s="9"/>
      <c r="J44" s="9"/>
      <c r="K44" s="9"/>
      <c r="L44" s="9"/>
      <c r="M44" s="9"/>
      <c r="N44" s="9"/>
      <c r="O44" s="9"/>
      <c r="P44" s="9"/>
      <c r="Q44" s="10" t="s">
        <v>62</v>
      </c>
      <c r="R44" s="9" t="str">
        <f aca="false">IF(Q44="Aprobada","Ya aprobada",IF(Q44="Cursada aprobada","Ya cursada",IF(AND(OR(L44="",COUNTIF($F$2:$F$46,L44)=0,COUNTIFS($F$2:$F$46,L44,$Q$2:$Q$46,"Aprobada")&gt;0,AND(Resumen!$B$15="La cursada aprobada",COUNTIFS($F$2:$F$46,L44,$Q$2:$Q$46,"Cursada aprobada")&gt;0)),OR(M44="",COUNTIF($F$2:$F$46,M44)=0,COUNTIFS($F$2:$F$46,M44,$Q$2:$Q$46,"Aprobada")&gt;0,AND(Resumen!$B$15="La cursada aprobada",COUNTIFS($F$2:$F$46,M44,$Q$2:$Q$46,"Cursada aprobada")&gt;0)),OR(N44="",COUNTIF($F$2:$F$46,N44)=0,COUNTIFS($F$2:$F$46,N44,$Q$2:$Q$46,"Aprobada")&gt;0,AND(Resumen!$B$15="La cursada aprobada",COUNTIFS($F$2:$F$46,N44,$Q$2:$Q$46,"Cursada aprobada")&gt;0)),OR(O44="",COUNTIF($F$2:$F$46,O44)=0,COUNTIFS($F$2:$F$46,O44,$Q$2:$Q$46,"Aprobada")&gt;0,AND(Resumen!$B$15="La cursada aprobada",COUNTIFS($F$2:$F$46,O44,$Q$2:$Q$46,"Cursada aprobada")&gt;0)),OR(P44="",COUNTIF($F$2:$F$46,P44)=0,COUNTIFS($F$2:$F$46,P44,$Q$2:$Q$46,"Aprobada")&gt;0,AND(Resumen!$B$15="La cursada aprobada",COUNTIFS($F$2:$F$46,P44,$Q$2:$Q$46,"Cursada aprobada")&gt;0))),"Sí","No")))</f>
        <v>Sí</v>
      </c>
      <c r="S44" s="8" t="str">
        <f aca="false">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</f>
        <v/>
      </c>
      <c r="T44" s="9" t="str">
        <f aca="false">IF(Q44="Cursada aprobada",IF(AND(OR(L44="",COUNTIF($F$2:$F$46,L44)=0,COUNTIFS($F$2:$F$46,L44,$Q$2:$Q$46,"Aprobada")&gt;0),OR(M44="",COUNTIF($F$2:$F$46,M44)=0,COUNTIFS($F$2:$F$46,M44,$Q$2:$Q$46,"Aprobada")&gt;0),OR(N44="",COUNTIF($F$2:$F$46,N44)=0,COUNTIFS($F$2:$F$46,N44,$Q$2:$Q$46,"Aprobada")&gt;0),OR(O44="",COUNTIF($F$2:$F$46,O44)=0,COUNTIFS($F$2:$F$46,O44,$Q$2:$Q$46,"Aprobada")&gt;0),OR(P44="",COUNTIF($F$2:$F$46,P44)=0,COUNTIFS($F$2:$F$46,P44,$Q$2:$Q$46,"Aprobada")&gt;0)),"Sí","No"),"")</f>
        <v/>
      </c>
      <c r="U44" s="9" t="str">
        <f aca="false">IF(Q44="Aprobada",TRIM(IF(NOT(OR(L44="",COUNTIF($F$2:$F$46,L44)=0,COUNTIFS($F$2:$F$46,L44,$Q$2:$Q$46,"Aprobada")&gt;0)),L44&amp;" ","")&amp;IF(NOT(OR(M44="",COUNTIF($F$2:$F$46,M44)=0,COUNTIFS($F$2:$F$46,M44,$Q$2:$Q$46,"Aprobada")&gt;0)),M44&amp;" ","")&amp;IF(NOT(OR(N44="",COUNTIF($F$2:$F$46,N44)=0,COUNTIFS($F$2:$F$46,N44,$Q$2:$Q$46,"Aprobada")&gt;0)),N44&amp;" ","")&amp;IF(NOT(OR(O44="",COUNTIF($F$2:$F$46,O44)=0,COUNTIFS($F$2:$F$46,O44,$Q$2:$Q$46,"Aprobada")&gt;0)),O44&amp;" ","")&amp;IF(NOT(OR(P44="",COUNTIF($F$2:$F$46,P44)=0,COUNTIFS($F$2:$F$46,P44,$Q$2:$Q$46,"Aprobada")&gt;0)),P44&amp;" ","")),IF(Q44="Cursada aprobada",TRIM(IF(NOT(OR(L44="",COUNTIF($F$2:$F$46,L44)=0,COUNTIFS($F$2:$F$46,L44,$Q$2:$Q$46,"Aprobada")&gt;0,AND(Resumen!$B$15="La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","")),""))</f>
        <v/>
      </c>
    </row>
    <row r="45" customFormat="false" ht="15" hidden="false" customHeight="false" outlineLevel="0" collapsed="false">
      <c r="A45" s="8" t="s">
        <v>116</v>
      </c>
      <c r="B45" s="8"/>
      <c r="C45" s="9"/>
      <c r="D45" s="9"/>
      <c r="E45" s="9" t="s">
        <v>122</v>
      </c>
      <c r="F45" s="9" t="n">
        <v>368</v>
      </c>
      <c r="G45" s="8" t="s">
        <v>123</v>
      </c>
      <c r="H45" s="9"/>
      <c r="I45" s="9"/>
      <c r="J45" s="9"/>
      <c r="K45" s="9"/>
      <c r="L45" s="9"/>
      <c r="M45" s="9"/>
      <c r="N45" s="9"/>
      <c r="O45" s="9"/>
      <c r="P45" s="9"/>
      <c r="Q45" s="10" t="s">
        <v>62</v>
      </c>
      <c r="R45" s="9" t="str">
        <f aca="false">IF(Q45="Aprobada","Ya aprobada",IF(Q45="Cursada aprobada","Ya cursada",IF(AND(OR(L45="",COUNTIF($F$2:$F$46,L45)=0,COUNTIFS($F$2:$F$46,L45,$Q$2:$Q$46,"Aprobada")&gt;0,AND(Resumen!$B$15="La cursada aprobada",COUNTIFS($F$2:$F$46,L45,$Q$2:$Q$46,"Cursada aprobada")&gt;0)),OR(M45="",COUNTIF($F$2:$F$46,M45)=0,COUNTIFS($F$2:$F$46,M45,$Q$2:$Q$46,"Aprobada")&gt;0,AND(Resumen!$B$15="La cursada aprobada",COUNTIFS($F$2:$F$46,M45,$Q$2:$Q$46,"Cursada aprobada")&gt;0)),OR(N45="",COUNTIF($F$2:$F$46,N45)=0,COUNTIFS($F$2:$F$46,N45,$Q$2:$Q$46,"Aprobada")&gt;0,AND(Resumen!$B$15="La cursada aprobada",COUNTIFS($F$2:$F$46,N45,$Q$2:$Q$46,"Cursada aprobada")&gt;0)),OR(O45="",COUNTIF($F$2:$F$46,O45)=0,COUNTIFS($F$2:$F$46,O45,$Q$2:$Q$46,"Aprobada")&gt;0,AND(Resumen!$B$15="La cursada aprobada",COUNTIFS($F$2:$F$46,O45,$Q$2:$Q$46,"Cursada aprobada")&gt;0)),OR(P45="",COUNTIF($F$2:$F$46,P45)=0,COUNTIFS($F$2:$F$46,P45,$Q$2:$Q$46,"Aprobada")&gt;0,AND(Resumen!$B$15="La cursada aprobada",COUNTIFS($F$2:$F$46,P45,$Q$2:$Q$46,"Cursada aprobada")&gt;0))),"Sí","No")))</f>
        <v>Sí</v>
      </c>
      <c r="S45" s="8" t="str">
        <f aca="false">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</f>
        <v/>
      </c>
      <c r="T45" s="9" t="str">
        <f aca="false">IF(Q45="Cursada aprobada",IF(AND(OR(L45="",COUNTIF($F$2:$F$46,L45)=0,COUNTIFS($F$2:$F$46,L45,$Q$2:$Q$46,"Aprobada")&gt;0),OR(M45="",COUNTIF($F$2:$F$46,M45)=0,COUNTIFS($F$2:$F$46,M45,$Q$2:$Q$46,"Aprobada")&gt;0),OR(N45="",COUNTIF($F$2:$F$46,N45)=0,COUNTIFS($F$2:$F$46,N45,$Q$2:$Q$46,"Aprobada")&gt;0),OR(O45="",COUNTIF($F$2:$F$46,O45)=0,COUNTIFS($F$2:$F$46,O45,$Q$2:$Q$46,"Aprobada")&gt;0),OR(P45="",COUNTIF($F$2:$F$46,P45)=0,COUNTIFS($F$2:$F$46,P45,$Q$2:$Q$46,"Aprobada")&gt;0)),"Sí","No"),"")</f>
        <v/>
      </c>
      <c r="U45" s="9" t="str">
        <f aca="false">IF(Q45="Aprobada",TRIM(IF(NOT(OR(L45="",COUNTIF($F$2:$F$46,L45)=0,COUNTIFS($F$2:$F$46,L45,$Q$2:$Q$46,"Aprobada")&gt;0)),L45&amp;" ","")&amp;IF(NOT(OR(M45="",COUNTIF($F$2:$F$46,M45)=0,COUNTIFS($F$2:$F$46,M45,$Q$2:$Q$46,"Aprobada")&gt;0)),M45&amp;" ","")&amp;IF(NOT(OR(N45="",COUNTIF($F$2:$F$46,N45)=0,COUNTIFS($F$2:$F$46,N45,$Q$2:$Q$46,"Aprobada")&gt;0)),N45&amp;" ","")&amp;IF(NOT(OR(O45="",COUNTIF($F$2:$F$46,O45)=0,COUNTIFS($F$2:$F$46,O45,$Q$2:$Q$46,"Aprobada")&gt;0)),O45&amp;" ","")&amp;IF(NOT(OR(P45="",COUNTIF($F$2:$F$46,P45)=0,COUNTIFS($F$2:$F$46,P45,$Q$2:$Q$46,"Aprobada")&gt;0)),P45&amp;" ","")),IF(Q45="Cursada aprobada",TRIM(IF(NOT(OR(L45="",COUNTIF($F$2:$F$46,L45)=0,COUNTIFS($F$2:$F$46,L45,$Q$2:$Q$46,"Aprobada")&gt;0,AND(Resumen!$B$15="La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","")),""))</f>
        <v/>
      </c>
    </row>
    <row r="46" customFormat="false" ht="15" hidden="false" customHeight="false" outlineLevel="0" collapsed="false">
      <c r="A46" s="8" t="s">
        <v>116</v>
      </c>
      <c r="B46" s="8"/>
      <c r="C46" s="9"/>
      <c r="D46" s="9"/>
      <c r="E46" s="9" t="s">
        <v>99</v>
      </c>
      <c r="F46" s="9" t="n">
        <v>298</v>
      </c>
      <c r="G46" s="8" t="s">
        <v>124</v>
      </c>
      <c r="H46" s="9"/>
      <c r="I46" s="9"/>
      <c r="J46" s="9"/>
      <c r="K46" s="9"/>
      <c r="L46" s="9"/>
      <c r="M46" s="9"/>
      <c r="N46" s="9"/>
      <c r="O46" s="9"/>
      <c r="P46" s="9"/>
      <c r="Q46" s="10" t="s">
        <v>62</v>
      </c>
      <c r="R46" s="9" t="str">
        <f aca="false">IF(Q46="Aprobada","Ya aprobada",IF(Q46="Cursada aprobada","Ya cursada",IF(AND(OR(L46="",COUNTIF($F$2:$F$46,L46)=0,COUNTIFS($F$2:$F$46,L46,$Q$2:$Q$46,"Aprobada")&gt;0,AND(Resumen!$B$15="La cursada aprobada",COUNTIFS($F$2:$F$46,L46,$Q$2:$Q$46,"Cursada aprobada")&gt;0)),OR(M46="",COUNTIF($F$2:$F$46,M46)=0,COUNTIFS($F$2:$F$46,M46,$Q$2:$Q$46,"Aprobada")&gt;0,AND(Resumen!$B$15="La cursada aprobada",COUNTIFS($F$2:$F$46,M46,$Q$2:$Q$46,"Cursada aprobada")&gt;0)),OR(N46="",COUNTIF($F$2:$F$46,N46)=0,COUNTIFS($F$2:$F$46,N46,$Q$2:$Q$46,"Aprobada")&gt;0,AND(Resumen!$B$15="La cursada aprobada",COUNTIFS($F$2:$F$46,N46,$Q$2:$Q$46,"Cursada aprobada")&gt;0)),OR(O46="",COUNTIF($F$2:$F$46,O46)=0,COUNTIFS($F$2:$F$46,O46,$Q$2:$Q$46,"Aprobada")&gt;0,AND(Resumen!$B$15="La cursada aprobada",COUNTIFS($F$2:$F$46,O46,$Q$2:$Q$46,"Cursada aprobada")&gt;0)),OR(P46="",COUNTIF($F$2:$F$46,P46)=0,COUNTIFS($F$2:$F$46,P46,$Q$2:$Q$46,"Aprobada")&gt;0,AND(Resumen!$B$15="La cursada aprobada",COUNTIFS($F$2:$F$46,P46,$Q$2:$Q$46,"Cursada aprobada")&gt;0))),"Sí","No")))</f>
        <v>Sí</v>
      </c>
      <c r="S46" s="8" t="str">
        <f aca="false">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</f>
        <v/>
      </c>
      <c r="T46" s="9" t="str">
        <f aca="false">IF(Q46="Cursada aprobada",IF(AND(OR(L46="",COUNTIF($F$2:$F$46,L46)=0,COUNTIFS($F$2:$F$46,L46,$Q$2:$Q$46,"Aprobada")&gt;0),OR(M46="",COUNTIF($F$2:$F$46,M46)=0,COUNTIFS($F$2:$F$46,M46,$Q$2:$Q$46,"Aprobada")&gt;0),OR(N46="",COUNTIF($F$2:$F$46,N46)=0,COUNTIFS($F$2:$F$46,N46,$Q$2:$Q$46,"Aprobada")&gt;0),OR(O46="",COUNTIF($F$2:$F$46,O46)=0,COUNTIFS($F$2:$F$46,O46,$Q$2:$Q$46,"Aprobada")&gt;0),OR(P46="",COUNTIF($F$2:$F$46,P46)=0,COUNTIFS($F$2:$F$46,P46,$Q$2:$Q$46,"Aprobada")&gt;0)),"Sí","No"),"")</f>
        <v/>
      </c>
      <c r="U46" s="9" t="str">
        <f aca="false">IF(Q46="Aprobada",TRIM(IF(NOT(OR(L46="",COUNTIF($F$2:$F$46,L46)=0,COUNTIFS($F$2:$F$46,L46,$Q$2:$Q$46,"Aprobada")&gt;0)),L46&amp;" ","")&amp;IF(NOT(OR(M46="",COUNTIF($F$2:$F$46,M46)=0,COUNTIFS($F$2:$F$46,M46,$Q$2:$Q$46,"Aprobada")&gt;0)),M46&amp;" ","")&amp;IF(NOT(OR(N46="",COUNTIF($F$2:$F$46,N46)=0,COUNTIFS($F$2:$F$46,N46,$Q$2:$Q$46,"Aprobada")&gt;0)),N46&amp;" ","")&amp;IF(NOT(OR(O46="",COUNTIF($F$2:$F$46,O46)=0,COUNTIFS($F$2:$F$46,O46,$Q$2:$Q$46,"Aprobada")&gt;0)),O46&amp;" ","")&amp;IF(NOT(OR(P46="",COUNTIF($F$2:$F$46,P46)=0,COUNTIFS($F$2:$F$46,P46,$Q$2:$Q$46,"Aprobada")&gt;0)),P46&amp;" ","")),IF(Q46="Cursada aprobada",TRIM(IF(NOT(OR(L46="",COUNTIF($F$2:$F$46,L46)=0,COUNTIFS($F$2:$F$46,L46,$Q$2:$Q$46,"Aprobada")&gt;0,AND(Resumen!$B$15="La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","")),""))</f>
        <v/>
      </c>
    </row>
  </sheetData>
  <autoFilter ref="A1:U46"/>
  <conditionalFormatting sqref="Q2:Q4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46">
    <cfRule type="expression" priority="4" aboveAverage="0" equalAverage="0" bottom="0" percent="0" rank="0" text="" dxfId="10">
      <formula>LEN($U2)&gt;0</formula>
    </cfRule>
  </conditionalFormatting>
  <conditionalFormatting sqref="T2:T4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4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4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58</v>
      </c>
      <c r="B2" s="8"/>
      <c r="C2" s="9" t="n">
        <v>1</v>
      </c>
      <c r="D2" s="9" t="n">
        <v>1</v>
      </c>
      <c r="E2" s="9" t="s">
        <v>59</v>
      </c>
      <c r="F2" s="9" t="n">
        <v>101</v>
      </c>
      <c r="G2" s="8" t="s">
        <v>60</v>
      </c>
      <c r="H2" s="9" t="s">
        <v>61</v>
      </c>
      <c r="I2" s="9" t="n">
        <v>6</v>
      </c>
      <c r="J2" s="9"/>
      <c r="K2" s="9" t="n">
        <v>96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cursada",IF(AND(OR(L2="",COUNTIF($F$2:$F$46,L2)=0,COUNTIFS($F$2:$F$46,L2,$Q$2:$Q$46,"Aprobada")&gt;0,AND(Resumen!$B$15="La cursada aprobada",COUNTIFS($F$2:$F$46,L2,$Q$2:$Q$46,"Cursada aprobada")&gt;0)),OR(M2="",COUNTIF($F$2:$F$46,M2)=0,COUNTIFS($F$2:$F$46,M2,$Q$2:$Q$46,"Aprobada")&gt;0,AND(Resumen!$B$15="La cursada aprobada",COUNTIFS($F$2:$F$46,M2,$Q$2:$Q$46,"Cursada aprobada")&gt;0)),OR(N2="",COUNTIF($F$2:$F$46,N2)=0,COUNTIFS($F$2:$F$46,N2,$Q$2:$Q$46,"Aprobada")&gt;0,AND(Resumen!$B$15="La cursada aprobada",COUNTIFS($F$2:$F$46,N2,$Q$2:$Q$46,"Cursada aprobada")&gt;0)),OR(O2="",COUNTIF($F$2:$F$46,O2)=0,COUNTIFS($F$2:$F$46,O2,$Q$2:$Q$46,"Aprobada")&gt;0,AND(Resumen!$B$15="La cursada aprobada",COUNTIFS($F$2:$F$46,O2,$Q$2:$Q$46,"Cursada aprobada")&gt;0)),OR(P2="",COUNTIF($F$2:$F$46,P2)=0,COUNTIFS($F$2:$F$46,P2,$Q$2:$Q$46,"Aprobada")&gt;0,AND(Resumen!$B$15="La cursada aprobada",COUNTIFS($F$2:$F$46,P2,$Q$2:$Q$46,"Cursada aprobada")&gt;0))),"Sí","No")))</f>
        <v>Sí</v>
      </c>
      <c r="S2" s="8" t="str">
        <f aca="false">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</f>
        <v/>
      </c>
      <c r="T2" s="9" t="str">
        <f aca="false">IF(Q2="Cursada aprobada",IF(AND(OR(L2="",COUNTIF($F$2:$F$46,L2)=0,COUNTIFS($F$2:$F$46,L2,$Q$2:$Q$46,"Aprobada")&gt;0),OR(M2="",COUNTIF($F$2:$F$46,M2)=0,COUNTIFS($F$2:$F$46,M2,$Q$2:$Q$46,"Aprobada")&gt;0),OR(N2="",COUNTIF($F$2:$F$46,N2)=0,COUNTIFS($F$2:$F$46,N2,$Q$2:$Q$46,"Aprobada")&gt;0),OR(O2="",COUNTIF($F$2:$F$46,O2)=0,COUNTIFS($F$2:$F$46,O2,$Q$2:$Q$46,"Aprobada")&gt;0),OR(P2="",COUNTIF($F$2:$F$46,P2)=0,COUNTIFS($F$2:$F$46,P2,$Q$2:$Q$46,"Aprobada")&gt;0)),"Sí","No"),"")</f>
        <v/>
      </c>
      <c r="U2" s="9" t="str">
        <f aca="false">IF(Q2="Aprobada",TRIM(IF(NOT(OR(L2="",COUNTIF($F$2:$F$46,L2)=0,COUNTIFS($F$2:$F$46,L2,$Q$2:$Q$46,"Aprobada")&gt;0)),L2&amp;" ","")&amp;IF(NOT(OR(M2="",COUNTIF($F$2:$F$46,M2)=0,COUNTIFS($F$2:$F$46,M2,$Q$2:$Q$46,"Aprobada")&gt;0)),M2&amp;" ","")&amp;IF(NOT(OR(N2="",COUNTIF($F$2:$F$46,N2)=0,COUNTIFS($F$2:$F$46,N2,$Q$2:$Q$46,"Aprobada")&gt;0)),N2&amp;" ","")&amp;IF(NOT(OR(O2="",COUNTIF($F$2:$F$46,O2)=0,COUNTIFS($F$2:$F$46,O2,$Q$2:$Q$46,"Aprobada")&gt;0)),O2&amp;" ","")&amp;IF(NOT(OR(P2="",COUNTIF($F$2:$F$46,P2)=0,COUNTIFS($F$2:$F$46,P2,$Q$2:$Q$46,"Aprobada")&gt;0)),P2&amp;" ","")),IF(Q2="Cursada aprobada",TRIM(IF(NOT(OR(L2="",COUNTIF($F$2:$F$46,L2)=0,COUNTIFS($F$2:$F$46,L2,$Q$2:$Q$46,"Aprobada")&gt;0,AND(Resumen!$B$15="La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","")),""))</f>
        <v/>
      </c>
    </row>
    <row r="3" customFormat="false" ht="15" hidden="false" customHeight="false" outlineLevel="0" collapsed="false">
      <c r="A3" s="8" t="s">
        <v>58</v>
      </c>
      <c r="B3" s="8"/>
      <c r="C3" s="9" t="n">
        <v>1</v>
      </c>
      <c r="D3" s="9" t="n">
        <v>1</v>
      </c>
      <c r="E3" s="9" t="s">
        <v>63</v>
      </c>
      <c r="F3" s="9" t="n">
        <v>104</v>
      </c>
      <c r="G3" s="8" t="s">
        <v>64</v>
      </c>
      <c r="H3" s="9" t="s">
        <v>61</v>
      </c>
      <c r="I3" s="9" t="n">
        <v>6</v>
      </c>
      <c r="J3" s="9"/>
      <c r="K3" s="9" t="n">
        <v>96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cursada",IF(AND(OR(L3="",COUNTIF($F$2:$F$46,L3)=0,COUNTIFS($F$2:$F$46,L3,$Q$2:$Q$46,"Aprobada")&gt;0,AND(Resumen!$B$15="La cursada aprobada",COUNTIFS($F$2:$F$46,L3,$Q$2:$Q$46,"Cursada aprobada")&gt;0)),OR(M3="",COUNTIF($F$2:$F$46,M3)=0,COUNTIFS($F$2:$F$46,M3,$Q$2:$Q$46,"Aprobada")&gt;0,AND(Resumen!$B$15="La cursada aprobada",COUNTIFS($F$2:$F$46,M3,$Q$2:$Q$46,"Cursada aprobada")&gt;0)),OR(N3="",COUNTIF($F$2:$F$46,N3)=0,COUNTIFS($F$2:$F$46,N3,$Q$2:$Q$46,"Aprobada")&gt;0,AND(Resumen!$B$15="La cursada aprobada",COUNTIFS($F$2:$F$46,N3,$Q$2:$Q$46,"Cursada aprobada")&gt;0)),OR(O3="",COUNTIF($F$2:$F$46,O3)=0,COUNTIFS($F$2:$F$46,O3,$Q$2:$Q$46,"Aprobada")&gt;0,AND(Resumen!$B$15="La cursada aprobada",COUNTIFS($F$2:$F$46,O3,$Q$2:$Q$46,"Cursada aprobada")&gt;0)),OR(P3="",COUNTIF($F$2:$F$46,P3)=0,COUNTIFS($F$2:$F$46,P3,$Q$2:$Q$46,"Aprobada")&gt;0,AND(Resumen!$B$15="La cursada aprobada",COUNTIFS($F$2:$F$46,P3,$Q$2:$Q$46,"Cursada aprobada")&gt;0))),"Sí","No")))</f>
        <v>Sí</v>
      </c>
      <c r="S3" s="8" t="str">
        <f aca="false">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</f>
        <v/>
      </c>
      <c r="T3" s="9" t="str">
        <f aca="false">IF(Q3="Cursada aprobada",IF(AND(OR(L3="",COUNTIF($F$2:$F$46,L3)=0,COUNTIFS($F$2:$F$46,L3,$Q$2:$Q$46,"Aprobada")&gt;0),OR(M3="",COUNTIF($F$2:$F$46,M3)=0,COUNTIFS($F$2:$F$46,M3,$Q$2:$Q$46,"Aprobada")&gt;0),OR(N3="",COUNTIF($F$2:$F$46,N3)=0,COUNTIFS($F$2:$F$46,N3,$Q$2:$Q$46,"Aprobada")&gt;0),OR(O3="",COUNTIF($F$2:$F$46,O3)=0,COUNTIFS($F$2:$F$46,O3,$Q$2:$Q$46,"Aprobada")&gt;0),OR(P3="",COUNTIF($F$2:$F$46,P3)=0,COUNTIFS($F$2:$F$46,P3,$Q$2:$Q$46,"Aprobada")&gt;0)),"Sí","No"),"")</f>
        <v/>
      </c>
      <c r="U3" s="9" t="str">
        <f aca="false">IF(Q3="Aprobada",TRIM(IF(NOT(OR(L3="",COUNTIF($F$2:$F$46,L3)=0,COUNTIFS($F$2:$F$46,L3,$Q$2:$Q$46,"Aprobada")&gt;0)),L3&amp;" ","")&amp;IF(NOT(OR(M3="",COUNTIF($F$2:$F$46,M3)=0,COUNTIFS($F$2:$F$46,M3,$Q$2:$Q$46,"Aprobada")&gt;0)),M3&amp;" ","")&amp;IF(NOT(OR(N3="",COUNTIF($F$2:$F$46,N3)=0,COUNTIFS($F$2:$F$46,N3,$Q$2:$Q$46,"Aprobada")&gt;0)),N3&amp;" ","")&amp;IF(NOT(OR(O3="",COUNTIF($F$2:$F$46,O3)=0,COUNTIFS($F$2:$F$46,O3,$Q$2:$Q$46,"Aprobada")&gt;0)),O3&amp;" ","")&amp;IF(NOT(OR(P3="",COUNTIF($F$2:$F$46,P3)=0,COUNTIFS($F$2:$F$46,P3,$Q$2:$Q$46,"Aprobada")&gt;0)),P3&amp;" ","")),IF(Q3="Cursada aprobada",TRIM(IF(NOT(OR(L3="",COUNTIF($F$2:$F$46,L3)=0,COUNTIFS($F$2:$F$46,L3,$Q$2:$Q$46,"Aprobada")&gt;0,AND(Resumen!$B$15="La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","")),""))</f>
        <v/>
      </c>
    </row>
    <row r="4" customFormat="false" ht="15" hidden="false" customHeight="false" outlineLevel="0" collapsed="false">
      <c r="A4" s="8" t="s">
        <v>58</v>
      </c>
      <c r="B4" s="8"/>
      <c r="C4" s="9" t="n">
        <v>1</v>
      </c>
      <c r="D4" s="9" t="n">
        <v>1</v>
      </c>
      <c r="E4" s="9" t="s">
        <v>65</v>
      </c>
      <c r="F4" s="9" t="n">
        <v>102</v>
      </c>
      <c r="G4" s="8" t="s">
        <v>66</v>
      </c>
      <c r="H4" s="9" t="s">
        <v>61</v>
      </c>
      <c r="I4" s="9" t="n">
        <v>6</v>
      </c>
      <c r="J4" s="9"/>
      <c r="K4" s="9" t="n">
        <v>96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cursada",IF(AND(OR(L4="",COUNTIF($F$2:$F$46,L4)=0,COUNTIFS($F$2:$F$46,L4,$Q$2:$Q$46,"Aprobada")&gt;0,AND(Resumen!$B$15="La cursada aprobada",COUNTIFS($F$2:$F$46,L4,$Q$2:$Q$46,"Cursada aprobada")&gt;0)),OR(M4="",COUNTIF($F$2:$F$46,M4)=0,COUNTIFS($F$2:$F$46,M4,$Q$2:$Q$46,"Aprobada")&gt;0,AND(Resumen!$B$15="La cursada aprobada",COUNTIFS($F$2:$F$46,M4,$Q$2:$Q$46,"Cursada aprobada")&gt;0)),OR(N4="",COUNTIF($F$2:$F$46,N4)=0,COUNTIFS($F$2:$F$46,N4,$Q$2:$Q$46,"Aprobada")&gt;0,AND(Resumen!$B$15="La cursada aprobada",COUNTIFS($F$2:$F$46,N4,$Q$2:$Q$46,"Cursada aprobada")&gt;0)),OR(O4="",COUNTIF($F$2:$F$46,O4)=0,COUNTIFS($F$2:$F$46,O4,$Q$2:$Q$46,"Aprobada")&gt;0,AND(Resumen!$B$15="La cursada aprobada",COUNTIFS($F$2:$F$46,O4,$Q$2:$Q$46,"Cursada aprobada")&gt;0)),OR(P4="",COUNTIF($F$2:$F$46,P4)=0,COUNTIFS($F$2:$F$46,P4,$Q$2:$Q$46,"Aprobada")&gt;0,AND(Resumen!$B$15="La cursada aprobada",COUNTIFS($F$2:$F$46,P4,$Q$2:$Q$46,"Cursada aprobada")&gt;0))),"Sí","No")))</f>
        <v>Sí</v>
      </c>
      <c r="S4" s="8" t="str">
        <f aca="false">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</f>
        <v/>
      </c>
      <c r="T4" s="9" t="str">
        <f aca="false">IF(Q4="Cursada aprobada",IF(AND(OR(L4="",COUNTIF($F$2:$F$46,L4)=0,COUNTIFS($F$2:$F$46,L4,$Q$2:$Q$46,"Aprobada")&gt;0),OR(M4="",COUNTIF($F$2:$F$46,M4)=0,COUNTIFS($F$2:$F$46,M4,$Q$2:$Q$46,"Aprobada")&gt;0),OR(N4="",COUNTIF($F$2:$F$46,N4)=0,COUNTIFS($F$2:$F$46,N4,$Q$2:$Q$46,"Aprobada")&gt;0),OR(O4="",COUNTIF($F$2:$F$46,O4)=0,COUNTIFS($F$2:$F$46,O4,$Q$2:$Q$46,"Aprobada")&gt;0),OR(P4="",COUNTIF($F$2:$F$46,P4)=0,COUNTIFS($F$2:$F$46,P4,$Q$2:$Q$46,"Aprobada")&gt;0)),"Sí","No"),"")</f>
        <v/>
      </c>
      <c r="U4" s="9" t="str">
        <f aca="false">IF(Q4="Aprobada",TRIM(IF(NOT(OR(L4="",COUNTIF($F$2:$F$46,L4)=0,COUNTIFS($F$2:$F$46,L4,$Q$2:$Q$46,"Aprobada")&gt;0)),L4&amp;" ","")&amp;IF(NOT(OR(M4="",COUNTIF($F$2:$F$46,M4)=0,COUNTIFS($F$2:$F$46,M4,$Q$2:$Q$46,"Aprobada")&gt;0)),M4&amp;" ","")&amp;IF(NOT(OR(N4="",COUNTIF($F$2:$F$46,N4)=0,COUNTIFS($F$2:$F$46,N4,$Q$2:$Q$46,"Aprobada")&gt;0)),N4&amp;" ","")&amp;IF(NOT(OR(O4="",COUNTIF($F$2:$F$46,O4)=0,COUNTIFS($F$2:$F$46,O4,$Q$2:$Q$46,"Aprobada")&gt;0)),O4&amp;" ","")&amp;IF(NOT(OR(P4="",COUNTIF($F$2:$F$46,P4)=0,COUNTIFS($F$2:$F$46,P4,$Q$2:$Q$46,"Aprobada")&gt;0)),P4&amp;" ","")),IF(Q4="Cursada aprobada",TRIM(IF(NOT(OR(L4="",COUNTIF($F$2:$F$46,L4)=0,COUNTIFS($F$2:$F$46,L4,$Q$2:$Q$46,"Aprobada")&gt;0,AND(Resumen!$B$15="La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","")),""))</f>
        <v/>
      </c>
    </row>
    <row r="5" customFormat="false" ht="15" hidden="false" customHeight="false" outlineLevel="0" collapsed="false">
      <c r="A5" s="8" t="s">
        <v>58</v>
      </c>
      <c r="B5" s="8"/>
      <c r="C5" s="9" t="n">
        <v>1</v>
      </c>
      <c r="D5" s="9" t="n">
        <v>2</v>
      </c>
      <c r="E5" s="9" t="s">
        <v>67</v>
      </c>
      <c r="F5" s="9" t="n">
        <v>103</v>
      </c>
      <c r="G5" s="8" t="s">
        <v>68</v>
      </c>
      <c r="H5" s="9" t="s">
        <v>61</v>
      </c>
      <c r="I5" s="9" t="n">
        <v>6</v>
      </c>
      <c r="J5" s="9"/>
      <c r="K5" s="9" t="n">
        <v>96</v>
      </c>
      <c r="L5" s="9"/>
      <c r="M5" s="9"/>
      <c r="N5" s="9"/>
      <c r="O5" s="9"/>
      <c r="P5" s="9"/>
      <c r="Q5" s="10" t="s">
        <v>62</v>
      </c>
      <c r="R5" s="9" t="str">
        <f aca="false">IF(Q5="Aprobada","Ya aprobada",IF(Q5="Cursada aprobada","Ya cursada",IF(AND(OR(L5="",COUNTIF($F$2:$F$46,L5)=0,COUNTIFS($F$2:$F$46,L5,$Q$2:$Q$46,"Aprobada")&gt;0,AND(Resumen!$B$15="La cursada aprobada",COUNTIFS($F$2:$F$46,L5,$Q$2:$Q$46,"Cursada aprobada")&gt;0)),OR(M5="",COUNTIF($F$2:$F$46,M5)=0,COUNTIFS($F$2:$F$46,M5,$Q$2:$Q$46,"Aprobada")&gt;0,AND(Resumen!$B$15="La cursada aprobada",COUNTIFS($F$2:$F$46,M5,$Q$2:$Q$46,"Cursada aprobada")&gt;0)),OR(N5="",COUNTIF($F$2:$F$46,N5)=0,COUNTIFS($F$2:$F$46,N5,$Q$2:$Q$46,"Aprobada")&gt;0,AND(Resumen!$B$15="La cursada aprobada",COUNTIFS($F$2:$F$46,N5,$Q$2:$Q$46,"Cursada aprobada")&gt;0)),OR(O5="",COUNTIF($F$2:$F$46,O5)=0,COUNTIFS($F$2:$F$46,O5,$Q$2:$Q$46,"Aprobada")&gt;0,AND(Resumen!$B$15="La cursada aprobada",COUNTIFS($F$2:$F$46,O5,$Q$2:$Q$46,"Cursada aprobada")&gt;0)),OR(P5="",COUNTIF($F$2:$F$46,P5)=0,COUNTIFS($F$2:$F$46,P5,$Q$2:$Q$46,"Aprobada")&gt;0,AND(Resumen!$B$15="La cursada aprobada",COUNTIFS($F$2:$F$46,P5,$Q$2:$Q$46,"Cursada aprobada")&gt;0))),"Sí","No")))</f>
        <v>Sí</v>
      </c>
      <c r="S5" s="8" t="str">
        <f aca="false">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</f>
        <v/>
      </c>
      <c r="T5" s="9" t="str">
        <f aca="false">IF(Q5="Cursada aprobada",IF(AND(OR(L5="",COUNTIF($F$2:$F$46,L5)=0,COUNTIFS($F$2:$F$46,L5,$Q$2:$Q$46,"Aprobada")&gt;0),OR(M5="",COUNTIF($F$2:$F$46,M5)=0,COUNTIFS($F$2:$F$46,M5,$Q$2:$Q$46,"Aprobada")&gt;0),OR(N5="",COUNTIF($F$2:$F$46,N5)=0,COUNTIFS($F$2:$F$46,N5,$Q$2:$Q$46,"Aprobada")&gt;0),OR(O5="",COUNTIF($F$2:$F$46,O5)=0,COUNTIFS($F$2:$F$46,O5,$Q$2:$Q$46,"Aprobada")&gt;0),OR(P5="",COUNTIF($F$2:$F$46,P5)=0,COUNTIFS($F$2:$F$46,P5,$Q$2:$Q$46,"Aprobada")&gt;0)),"Sí","No"),"")</f>
        <v/>
      </c>
      <c r="U5" s="9" t="str">
        <f aca="false">IF(Q5="Aprobada",TRIM(IF(NOT(OR(L5="",COUNTIF($F$2:$F$46,L5)=0,COUNTIFS($F$2:$F$46,L5,$Q$2:$Q$46,"Aprobada")&gt;0)),L5&amp;" ","")&amp;IF(NOT(OR(M5="",COUNTIF($F$2:$F$46,M5)=0,COUNTIFS($F$2:$F$46,M5,$Q$2:$Q$46,"Aprobada")&gt;0)),M5&amp;" ","")&amp;IF(NOT(OR(N5="",COUNTIF($F$2:$F$46,N5)=0,COUNTIFS($F$2:$F$46,N5,$Q$2:$Q$46,"Aprobada")&gt;0)),N5&amp;" ","")&amp;IF(NOT(OR(O5="",COUNTIF($F$2:$F$46,O5)=0,COUNTIFS($F$2:$F$46,O5,$Q$2:$Q$46,"Aprobada")&gt;0)),O5&amp;" ","")&amp;IF(NOT(OR(P5="",COUNTIF($F$2:$F$46,P5)=0,COUNTIFS($F$2:$F$46,P5,$Q$2:$Q$46,"Aprobada")&gt;0)),P5&amp;" ","")),IF(Q5="Cursada aprobada",TRIM(IF(NOT(OR(L5="",COUNTIF($F$2:$F$46,L5)=0,COUNTIFS($F$2:$F$46,L5,$Q$2:$Q$46,"Aprobada")&gt;0,AND(Resumen!$B$15="La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","")),""))</f>
        <v/>
      </c>
    </row>
    <row r="6" customFormat="false" ht="15" hidden="false" customHeight="false" outlineLevel="0" collapsed="false">
      <c r="A6" s="8" t="s">
        <v>58</v>
      </c>
      <c r="B6" s="8"/>
      <c r="C6" s="9" t="n">
        <v>1</v>
      </c>
      <c r="D6" s="9" t="n">
        <v>2</v>
      </c>
      <c r="E6" s="9" t="s">
        <v>69</v>
      </c>
      <c r="F6" s="9" t="n">
        <v>180</v>
      </c>
      <c r="G6" s="8" t="s">
        <v>70</v>
      </c>
      <c r="H6" s="9" t="s">
        <v>71</v>
      </c>
      <c r="I6" s="9" t="n">
        <v>4</v>
      </c>
      <c r="J6" s="9"/>
      <c r="K6" s="9" t="n">
        <v>64</v>
      </c>
      <c r="L6" s="9"/>
      <c r="M6" s="9"/>
      <c r="N6" s="9"/>
      <c r="O6" s="9"/>
      <c r="P6" s="9"/>
      <c r="Q6" s="10" t="s">
        <v>62</v>
      </c>
      <c r="R6" s="9" t="str">
        <f aca="false">IF(Q6="Aprobada","Ya aprobada",IF(Q6="Cursada aprobada","Ya cursada",IF(AND(OR(L6="",COUNTIF($F$2:$F$46,L6)=0,COUNTIFS($F$2:$F$46,L6,$Q$2:$Q$46,"Aprobada")&gt;0,AND(Resumen!$B$15="La cursada aprobada",COUNTIFS($F$2:$F$46,L6,$Q$2:$Q$46,"Cursada aprobada")&gt;0)),OR(M6="",COUNTIF($F$2:$F$46,M6)=0,COUNTIFS($F$2:$F$46,M6,$Q$2:$Q$46,"Aprobada")&gt;0,AND(Resumen!$B$15="La cursada aprobada",COUNTIFS($F$2:$F$46,M6,$Q$2:$Q$46,"Cursada aprobada")&gt;0)),OR(N6="",COUNTIF($F$2:$F$46,N6)=0,COUNTIFS($F$2:$F$46,N6,$Q$2:$Q$46,"Aprobada")&gt;0,AND(Resumen!$B$15="La cursada aprobada",COUNTIFS($F$2:$F$46,N6,$Q$2:$Q$46,"Cursada aprobada")&gt;0)),OR(O6="",COUNTIF($F$2:$F$46,O6)=0,COUNTIFS($F$2:$F$46,O6,$Q$2:$Q$46,"Aprobada")&gt;0,AND(Resumen!$B$15="La cursada aprobada",COUNTIFS($F$2:$F$46,O6,$Q$2:$Q$46,"Cursada aprobada")&gt;0)),OR(P6="",COUNTIF($F$2:$F$46,P6)=0,COUNTIFS($F$2:$F$46,P6,$Q$2:$Q$46,"Aprobada")&gt;0,AND(Resumen!$B$15="La cursada aprobada",COUNTIFS($F$2:$F$46,P6,$Q$2:$Q$46,"Cursada aprobada")&gt;0))),"Sí","No")))</f>
        <v>Sí</v>
      </c>
      <c r="S6" s="8" t="str">
        <f aca="false">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</f>
        <v/>
      </c>
      <c r="T6" s="9" t="str">
        <f aca="false">IF(Q6="Cursada aprobada",IF(AND(OR(L6="",COUNTIF($F$2:$F$46,L6)=0,COUNTIFS($F$2:$F$46,L6,$Q$2:$Q$46,"Aprobada")&gt;0),OR(M6="",COUNTIF($F$2:$F$46,M6)=0,COUNTIFS($F$2:$F$46,M6,$Q$2:$Q$46,"Aprobada")&gt;0),OR(N6="",COUNTIF($F$2:$F$46,N6)=0,COUNTIFS($F$2:$F$46,N6,$Q$2:$Q$46,"Aprobada")&gt;0),OR(O6="",COUNTIF($F$2:$F$46,O6)=0,COUNTIFS($F$2:$F$46,O6,$Q$2:$Q$46,"Aprobada")&gt;0),OR(P6="",COUNTIF($F$2:$F$46,P6)=0,COUNTIFS($F$2:$F$46,P6,$Q$2:$Q$46,"Aprobada")&gt;0)),"Sí","No"),"")</f>
        <v/>
      </c>
      <c r="U6" s="9" t="str">
        <f aca="false">IF(Q6="Aprobada",TRIM(IF(NOT(OR(L6="",COUNTIF($F$2:$F$46,L6)=0,COUNTIFS($F$2:$F$46,L6,$Q$2:$Q$46,"Aprobada")&gt;0)),L6&amp;" ","")&amp;IF(NOT(OR(M6="",COUNTIF($F$2:$F$46,M6)=0,COUNTIFS($F$2:$F$46,M6,$Q$2:$Q$46,"Aprobada")&gt;0)),M6&amp;" ","")&amp;IF(NOT(OR(N6="",COUNTIF($F$2:$F$46,N6)=0,COUNTIFS($F$2:$F$46,N6,$Q$2:$Q$46,"Aprobada")&gt;0)),N6&amp;" ","")&amp;IF(NOT(OR(O6="",COUNTIF($F$2:$F$46,O6)=0,COUNTIFS($F$2:$F$46,O6,$Q$2:$Q$46,"Aprobada")&gt;0)),O6&amp;" ","")&amp;IF(NOT(OR(P6="",COUNTIF($F$2:$F$46,P6)=0,COUNTIFS($F$2:$F$46,P6,$Q$2:$Q$46,"Aprobada")&gt;0)),P6&amp;" ","")),IF(Q6="Cursada aprobada",TRIM(IF(NOT(OR(L6="",COUNTIF($F$2:$F$46,L6)=0,COUNTIFS($F$2:$F$46,L6,$Q$2:$Q$46,"Aprobada")&gt;0,AND(Resumen!$B$15="La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","")),""))</f>
        <v/>
      </c>
    </row>
    <row r="7" customFormat="false" ht="15" hidden="false" customHeight="false" outlineLevel="0" collapsed="false">
      <c r="A7" s="8" t="s">
        <v>58</v>
      </c>
      <c r="B7" s="8"/>
      <c r="C7" s="9" t="n">
        <v>1</v>
      </c>
      <c r="D7" s="9" t="n">
        <v>2</v>
      </c>
      <c r="E7" s="9" t="s">
        <v>69</v>
      </c>
      <c r="F7" s="9" t="n">
        <v>205</v>
      </c>
      <c r="G7" s="8" t="s">
        <v>72</v>
      </c>
      <c r="H7" s="9" t="s">
        <v>71</v>
      </c>
      <c r="I7" s="9" t="n">
        <v>4</v>
      </c>
      <c r="J7" s="9"/>
      <c r="K7" s="9" t="n">
        <v>64</v>
      </c>
      <c r="L7" s="9"/>
      <c r="M7" s="9"/>
      <c r="N7" s="9"/>
      <c r="O7" s="9"/>
      <c r="P7" s="9"/>
      <c r="Q7" s="10" t="s">
        <v>62</v>
      </c>
      <c r="R7" s="9" t="str">
        <f aca="false">IF(Q7="Aprobada","Ya aprobada",IF(Q7="Cursada aprobada","Ya cursada",IF(AND(OR(L7="",COUNTIF($F$2:$F$46,L7)=0,COUNTIFS($F$2:$F$46,L7,$Q$2:$Q$46,"Aprobada")&gt;0,AND(Resumen!$B$15="La cursada aprobada",COUNTIFS($F$2:$F$46,L7,$Q$2:$Q$46,"Cursada aprobada")&gt;0)),OR(M7="",COUNTIF($F$2:$F$46,M7)=0,COUNTIFS($F$2:$F$46,M7,$Q$2:$Q$46,"Aprobada")&gt;0,AND(Resumen!$B$15="La cursada aprobada",COUNTIFS($F$2:$F$46,M7,$Q$2:$Q$46,"Cursada aprobada")&gt;0)),OR(N7="",COUNTIF($F$2:$F$46,N7)=0,COUNTIFS($F$2:$F$46,N7,$Q$2:$Q$46,"Aprobada")&gt;0,AND(Resumen!$B$15="La cursada aprobada",COUNTIFS($F$2:$F$46,N7,$Q$2:$Q$46,"Cursada aprobada")&gt;0)),OR(O7="",COUNTIF($F$2:$F$46,O7)=0,COUNTIFS($F$2:$F$46,O7,$Q$2:$Q$46,"Aprobada")&gt;0,AND(Resumen!$B$15="La cursada aprobada",COUNTIFS($F$2:$F$46,O7,$Q$2:$Q$46,"Cursada aprobada")&gt;0)),OR(P7="",COUNTIF($F$2:$F$46,P7)=0,COUNTIFS($F$2:$F$46,P7,$Q$2:$Q$46,"Aprobada")&gt;0,AND(Resumen!$B$15="La cursada aprobada",COUNTIFS($F$2:$F$46,P7,$Q$2:$Q$46,"Cursada aprobada")&gt;0))),"Sí","No")))</f>
        <v>Sí</v>
      </c>
      <c r="S7" s="8" t="str">
        <f aca="false">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</f>
        <v/>
      </c>
      <c r="T7" s="9" t="str">
        <f aca="false">IF(Q7="Cursada aprobada",IF(AND(OR(L7="",COUNTIF($F$2:$F$46,L7)=0,COUNTIFS($F$2:$F$46,L7,$Q$2:$Q$46,"Aprobada")&gt;0),OR(M7="",COUNTIF($F$2:$F$46,M7)=0,COUNTIFS($F$2:$F$46,M7,$Q$2:$Q$46,"Aprobada")&gt;0),OR(N7="",COUNTIF($F$2:$F$46,N7)=0,COUNTIFS($F$2:$F$46,N7,$Q$2:$Q$46,"Aprobada")&gt;0),OR(O7="",COUNTIF($F$2:$F$46,O7)=0,COUNTIFS($F$2:$F$46,O7,$Q$2:$Q$46,"Aprobada")&gt;0),OR(P7="",COUNTIF($F$2:$F$46,P7)=0,COUNTIFS($F$2:$F$46,P7,$Q$2:$Q$46,"Aprobada")&gt;0)),"Sí","No"),"")</f>
        <v/>
      </c>
      <c r="U7" s="9" t="str">
        <f aca="false">IF(Q7="Aprobada",TRIM(IF(NOT(OR(L7="",COUNTIF($F$2:$F$46,L7)=0,COUNTIFS($F$2:$F$46,L7,$Q$2:$Q$46,"Aprobada")&gt;0)),L7&amp;" ","")&amp;IF(NOT(OR(M7="",COUNTIF($F$2:$F$46,M7)=0,COUNTIFS($F$2:$F$46,M7,$Q$2:$Q$46,"Aprobada")&gt;0)),M7&amp;" ","")&amp;IF(NOT(OR(N7="",COUNTIF($F$2:$F$46,N7)=0,COUNTIFS($F$2:$F$46,N7,$Q$2:$Q$46,"Aprobada")&gt;0)),N7&amp;" ","")&amp;IF(NOT(OR(O7="",COUNTIF($F$2:$F$46,O7)=0,COUNTIFS($F$2:$F$46,O7,$Q$2:$Q$46,"Aprobada")&gt;0)),O7&amp;" ","")&amp;IF(NOT(OR(P7="",COUNTIF($F$2:$F$46,P7)=0,COUNTIFS($F$2:$F$46,P7,$Q$2:$Q$46,"Aprobada")&gt;0)),P7&amp;" ","")),IF(Q7="Cursada aprobada",TRIM(IF(NOT(OR(L7="",COUNTIF($F$2:$F$46,L7)=0,COUNTIFS($F$2:$F$46,L7,$Q$2:$Q$46,"Aprobada")&gt;0,AND(Resumen!$B$15="La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","")),""))</f>
        <v/>
      </c>
    </row>
    <row r="8" customFormat="false" ht="15" hidden="false" customHeight="false" outlineLevel="0" collapsed="false">
      <c r="A8" s="8" t="s">
        <v>58</v>
      </c>
      <c r="B8" s="8"/>
      <c r="C8" s="9" t="n">
        <v>1</v>
      </c>
      <c r="D8" s="9" t="n">
        <v>2</v>
      </c>
      <c r="E8" s="9" t="s">
        <v>65</v>
      </c>
      <c r="F8" s="9" t="n">
        <v>209</v>
      </c>
      <c r="G8" s="8" t="s">
        <v>73</v>
      </c>
      <c r="H8" s="9" t="s">
        <v>61</v>
      </c>
      <c r="I8" s="9" t="n">
        <v>5</v>
      </c>
      <c r="J8" s="9"/>
      <c r="K8" s="9" t="n">
        <v>80</v>
      </c>
      <c r="L8" s="9" t="n">
        <v>102</v>
      </c>
      <c r="M8" s="9"/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cursada",IF(AND(OR(L8="",COUNTIF($F$2:$F$46,L8)=0,COUNTIFS($F$2:$F$46,L8,$Q$2:$Q$46,"Aprobada")&gt;0,AND(Resumen!$B$15="La cursada aprobada",COUNTIFS($F$2:$F$46,L8,$Q$2:$Q$46,"Cursada aprobada")&gt;0)),OR(M8="",COUNTIF($F$2:$F$46,M8)=0,COUNTIFS($F$2:$F$46,M8,$Q$2:$Q$46,"Aprobada")&gt;0,AND(Resumen!$B$15="La cursada aprobada",COUNTIFS($F$2:$F$46,M8,$Q$2:$Q$46,"Cursada aprobada")&gt;0)),OR(N8="",COUNTIF($F$2:$F$46,N8)=0,COUNTIFS($F$2:$F$46,N8,$Q$2:$Q$46,"Aprobada")&gt;0,AND(Resumen!$B$15="La cursada aprobada",COUNTIFS($F$2:$F$46,N8,$Q$2:$Q$46,"Cursada aprobada")&gt;0)),OR(O8="",COUNTIF($F$2:$F$46,O8)=0,COUNTIFS($F$2:$F$46,O8,$Q$2:$Q$46,"Aprobada")&gt;0,AND(Resumen!$B$15="La cursada aprobada",COUNTIFS($F$2:$F$46,O8,$Q$2:$Q$46,"Cursada aprobada")&gt;0)),OR(P8="",COUNTIF($F$2:$F$46,P8)=0,COUNTIFS($F$2:$F$46,P8,$Q$2:$Q$46,"Aprobada")&gt;0,AND(Resumen!$B$15="La cursada aprobada",COUNTIFS($F$2:$F$46,P8,$Q$2:$Q$46,"Cursada aprobada")&gt;0))),"Sí","No")))</f>
        <v>No</v>
      </c>
      <c r="S8" s="8" t="str">
        <f aca="false">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</f>
        <v>102</v>
      </c>
      <c r="T8" s="9" t="str">
        <f aca="false">IF(Q8="Cursada aprobada",IF(AND(OR(L8="",COUNTIF($F$2:$F$46,L8)=0,COUNTIFS($F$2:$F$46,L8,$Q$2:$Q$46,"Aprobada")&gt;0),OR(M8="",COUNTIF($F$2:$F$46,M8)=0,COUNTIFS($F$2:$F$46,M8,$Q$2:$Q$46,"Aprobada")&gt;0),OR(N8="",COUNTIF($F$2:$F$46,N8)=0,COUNTIFS($F$2:$F$46,N8,$Q$2:$Q$46,"Aprobada")&gt;0),OR(O8="",COUNTIF($F$2:$F$46,O8)=0,COUNTIFS($F$2:$F$46,O8,$Q$2:$Q$46,"Aprobada")&gt;0),OR(P8="",COUNTIF($F$2:$F$46,P8)=0,COUNTIFS($F$2:$F$46,P8,$Q$2:$Q$46,"Aprobada")&gt;0)),"Sí","No"),"")</f>
        <v/>
      </c>
      <c r="U8" s="9" t="str">
        <f aca="false">IF(Q8="Aprobada",TRIM(IF(NOT(OR(L8="",COUNTIF($F$2:$F$46,L8)=0,COUNTIFS($F$2:$F$46,L8,$Q$2:$Q$46,"Aprobada")&gt;0)),L8&amp;" ","")&amp;IF(NOT(OR(M8="",COUNTIF($F$2:$F$46,M8)=0,COUNTIFS($F$2:$F$46,M8,$Q$2:$Q$46,"Aprobada")&gt;0)),M8&amp;" ","")&amp;IF(NOT(OR(N8="",COUNTIF($F$2:$F$46,N8)=0,COUNTIFS($F$2:$F$46,N8,$Q$2:$Q$46,"Aprobada")&gt;0)),N8&amp;" ","")&amp;IF(NOT(OR(O8="",COUNTIF($F$2:$F$46,O8)=0,COUNTIFS($F$2:$F$46,O8,$Q$2:$Q$46,"Aprobada")&gt;0)),O8&amp;" ","")&amp;IF(NOT(OR(P8="",COUNTIF($F$2:$F$46,P8)=0,COUNTIFS($F$2:$F$46,P8,$Q$2:$Q$46,"Aprobada")&gt;0)),P8&amp;" ","")),IF(Q8="Cursada aprobada",TRIM(IF(NOT(OR(L8="",COUNTIF($F$2:$F$46,L8)=0,COUNTIFS($F$2:$F$46,L8,$Q$2:$Q$46,"Aprobada")&gt;0,AND(Resumen!$B$15="La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","")),""))</f>
        <v/>
      </c>
    </row>
    <row r="9" customFormat="false" ht="15" hidden="false" customHeight="false" outlineLevel="0" collapsed="false">
      <c r="A9" s="8" t="s">
        <v>58</v>
      </c>
      <c r="B9" s="8"/>
      <c r="C9" s="9" t="n">
        <v>2</v>
      </c>
      <c r="D9" s="9" t="n">
        <v>1</v>
      </c>
      <c r="E9" s="9" t="s">
        <v>59</v>
      </c>
      <c r="F9" s="9" t="n">
        <v>314</v>
      </c>
      <c r="G9" s="8" t="s">
        <v>74</v>
      </c>
      <c r="H9" s="9" t="s">
        <v>61</v>
      </c>
      <c r="I9" s="9" t="n">
        <v>6</v>
      </c>
      <c r="J9" s="9"/>
      <c r="K9" s="9" t="n">
        <v>96</v>
      </c>
      <c r="L9" s="9" t="n">
        <v>101</v>
      </c>
      <c r="M9" s="9" t="n">
        <v>209</v>
      </c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cursada",IF(AND(OR(L9="",COUNTIF($F$2:$F$46,L9)=0,COUNTIFS($F$2:$F$46,L9,$Q$2:$Q$46,"Aprobada")&gt;0,AND(Resumen!$B$15="La cursada aprobada",COUNTIFS($F$2:$F$46,L9,$Q$2:$Q$46,"Cursada aprobada")&gt;0)),OR(M9="",COUNTIF($F$2:$F$46,M9)=0,COUNTIFS($F$2:$F$46,M9,$Q$2:$Q$46,"Aprobada")&gt;0,AND(Resumen!$B$15="La cursada aprobada",COUNTIFS($F$2:$F$46,M9,$Q$2:$Q$46,"Cursada aprobada")&gt;0)),OR(N9="",COUNTIF($F$2:$F$46,N9)=0,COUNTIFS($F$2:$F$46,N9,$Q$2:$Q$46,"Aprobada")&gt;0,AND(Resumen!$B$15="La cursada aprobada",COUNTIFS($F$2:$F$46,N9,$Q$2:$Q$46,"Cursada aprobada")&gt;0)),OR(O9="",COUNTIF($F$2:$F$46,O9)=0,COUNTIFS($F$2:$F$46,O9,$Q$2:$Q$46,"Aprobada")&gt;0,AND(Resumen!$B$15="La cursada aprobada",COUNTIFS($F$2:$F$46,O9,$Q$2:$Q$46,"Cursada aprobada")&gt;0)),OR(P9="",COUNTIF($F$2:$F$46,P9)=0,COUNTIFS($F$2:$F$46,P9,$Q$2:$Q$46,"Aprobada")&gt;0,AND(Resumen!$B$15="La cursada aprobada",COUNTIFS($F$2:$F$46,P9,$Q$2:$Q$46,"Cursada aprobada")&gt;0))),"Sí","No")))</f>
        <v>No</v>
      </c>
      <c r="S9" s="8" t="str">
        <f aca="false">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</f>
        <v>101 209</v>
      </c>
      <c r="T9" s="9" t="str">
        <f aca="false">IF(Q9="Cursada aprobada",IF(AND(OR(L9="",COUNTIF($F$2:$F$46,L9)=0,COUNTIFS($F$2:$F$46,L9,$Q$2:$Q$46,"Aprobada")&gt;0),OR(M9="",COUNTIF($F$2:$F$46,M9)=0,COUNTIFS($F$2:$F$46,M9,$Q$2:$Q$46,"Aprobada")&gt;0),OR(N9="",COUNTIF($F$2:$F$46,N9)=0,COUNTIFS($F$2:$F$46,N9,$Q$2:$Q$46,"Aprobada")&gt;0),OR(O9="",COUNTIF($F$2:$F$46,O9)=0,COUNTIFS($F$2:$F$46,O9,$Q$2:$Q$46,"Aprobada")&gt;0),OR(P9="",COUNTIF($F$2:$F$46,P9)=0,COUNTIFS($F$2:$F$46,P9,$Q$2:$Q$46,"Aprobada")&gt;0)),"Sí","No"),"")</f>
        <v/>
      </c>
      <c r="U9" s="9" t="str">
        <f aca="false">IF(Q9="Aprobada",TRIM(IF(NOT(OR(L9="",COUNTIF($F$2:$F$46,L9)=0,COUNTIFS($F$2:$F$46,L9,$Q$2:$Q$46,"Aprobada")&gt;0)),L9&amp;" ","")&amp;IF(NOT(OR(M9="",COUNTIF($F$2:$F$46,M9)=0,COUNTIFS($F$2:$F$46,M9,$Q$2:$Q$46,"Aprobada")&gt;0)),M9&amp;" ","")&amp;IF(NOT(OR(N9="",COUNTIF($F$2:$F$46,N9)=0,COUNTIFS($F$2:$F$46,N9,$Q$2:$Q$46,"Aprobada")&gt;0)),N9&amp;" ","")&amp;IF(NOT(OR(O9="",COUNTIF($F$2:$F$46,O9)=0,COUNTIFS($F$2:$F$46,O9,$Q$2:$Q$46,"Aprobada")&gt;0)),O9&amp;" ","")&amp;IF(NOT(OR(P9="",COUNTIF($F$2:$F$46,P9)=0,COUNTIFS($F$2:$F$46,P9,$Q$2:$Q$46,"Aprobada")&gt;0)),P9&amp;" ","")),IF(Q9="Cursada aprobada",TRIM(IF(NOT(OR(L9="",COUNTIF($F$2:$F$46,L9)=0,COUNTIFS($F$2:$F$46,L9,$Q$2:$Q$46,"Aprobada")&gt;0,AND(Resumen!$B$15="La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","")),""))</f>
        <v/>
      </c>
    </row>
    <row r="10" customFormat="false" ht="15" hidden="false" customHeight="false" outlineLevel="0" collapsed="false">
      <c r="A10" s="8" t="s">
        <v>58</v>
      </c>
      <c r="B10" s="8"/>
      <c r="C10" s="9" t="n">
        <v>2</v>
      </c>
      <c r="D10" s="9" t="n">
        <v>1</v>
      </c>
      <c r="E10" s="9" t="s">
        <v>63</v>
      </c>
      <c r="F10" s="9" t="n">
        <v>308</v>
      </c>
      <c r="G10" s="8" t="s">
        <v>75</v>
      </c>
      <c r="H10" s="9" t="s">
        <v>61</v>
      </c>
      <c r="I10" s="9" t="n">
        <v>6</v>
      </c>
      <c r="J10" s="9"/>
      <c r="K10" s="9" t="n">
        <v>96</v>
      </c>
      <c r="L10" s="9" t="n">
        <v>104</v>
      </c>
      <c r="M10" s="9"/>
      <c r="N10" s="9"/>
      <c r="O10" s="9"/>
      <c r="P10" s="9"/>
      <c r="Q10" s="10" t="s">
        <v>62</v>
      </c>
      <c r="R10" s="9" t="str">
        <f aca="false">IF(Q10="Aprobada","Ya aprobada",IF(Q10="Cursada aprobada","Ya cursada",IF(AND(OR(L10="",COUNTIF($F$2:$F$46,L10)=0,COUNTIFS($F$2:$F$46,L10,$Q$2:$Q$46,"Aprobada")&gt;0,AND(Resumen!$B$15="La cursada aprobada",COUNTIFS($F$2:$F$46,L10,$Q$2:$Q$46,"Cursada aprobada")&gt;0)),OR(M10="",COUNTIF($F$2:$F$46,M10)=0,COUNTIFS($F$2:$F$46,M10,$Q$2:$Q$46,"Aprobada")&gt;0,AND(Resumen!$B$15="La cursada aprobada",COUNTIFS($F$2:$F$46,M10,$Q$2:$Q$46,"Cursada aprobada")&gt;0)),OR(N10="",COUNTIF($F$2:$F$46,N10)=0,COUNTIFS($F$2:$F$46,N10,$Q$2:$Q$46,"Aprobada")&gt;0,AND(Resumen!$B$15="La cursada aprobada",COUNTIFS($F$2:$F$46,N10,$Q$2:$Q$46,"Cursada aprobada")&gt;0)),OR(O10="",COUNTIF($F$2:$F$46,O10)=0,COUNTIFS($F$2:$F$46,O10,$Q$2:$Q$46,"Aprobada")&gt;0,AND(Resumen!$B$15="La cursada aprobada",COUNTIFS($F$2:$F$46,O10,$Q$2:$Q$46,"Cursada aprobada")&gt;0)),OR(P10="",COUNTIF($F$2:$F$46,P10)=0,COUNTIFS($F$2:$F$46,P10,$Q$2:$Q$46,"Aprobada")&gt;0,AND(Resumen!$B$15="La cursada aprobada",COUNTIFS($F$2:$F$46,P10,$Q$2:$Q$46,"Cursada aprobada")&gt;0))),"Sí","No")))</f>
        <v>No</v>
      </c>
      <c r="S10" s="8" t="str">
        <f aca="false">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</f>
        <v>104</v>
      </c>
      <c r="T10" s="9" t="str">
        <f aca="false">IF(Q10="Cursada aprobada",IF(AND(OR(L10="",COUNTIF($F$2:$F$46,L10)=0,COUNTIFS($F$2:$F$46,L10,$Q$2:$Q$46,"Aprobada")&gt;0),OR(M10="",COUNTIF($F$2:$F$46,M10)=0,COUNTIFS($F$2:$F$46,M10,$Q$2:$Q$46,"Aprobada")&gt;0),OR(N10="",COUNTIF($F$2:$F$46,N10)=0,COUNTIFS($F$2:$F$46,N10,$Q$2:$Q$46,"Aprobada")&gt;0),OR(O10="",COUNTIF($F$2:$F$46,O10)=0,COUNTIFS($F$2:$F$46,O10,$Q$2:$Q$46,"Aprobada")&gt;0),OR(P10="",COUNTIF($F$2:$F$46,P10)=0,COUNTIFS($F$2:$F$46,P10,$Q$2:$Q$46,"Aprobada")&gt;0)),"Sí","No"),"")</f>
        <v/>
      </c>
      <c r="U10" s="9" t="str">
        <f aca="false">IF(Q10="Aprobada",TRIM(IF(NOT(OR(L10="",COUNTIF($F$2:$F$46,L10)=0,COUNTIFS($F$2:$F$46,L10,$Q$2:$Q$46,"Aprobada")&gt;0)),L10&amp;" ","")&amp;IF(NOT(OR(M10="",COUNTIF($F$2:$F$46,M10)=0,COUNTIFS($F$2:$F$46,M10,$Q$2:$Q$46,"Aprobada")&gt;0)),M10&amp;" ","")&amp;IF(NOT(OR(N10="",COUNTIF($F$2:$F$46,N10)=0,COUNTIFS($F$2:$F$46,N10,$Q$2:$Q$46,"Aprobada")&gt;0)),N10&amp;" ","")&amp;IF(NOT(OR(O10="",COUNTIF($F$2:$F$46,O10)=0,COUNTIFS($F$2:$F$46,O10,$Q$2:$Q$46,"Aprobada")&gt;0)),O10&amp;" ","")&amp;IF(NOT(OR(P10="",COUNTIF($F$2:$F$46,P10)=0,COUNTIFS($F$2:$F$46,P10,$Q$2:$Q$46,"Aprobada")&gt;0)),P10&amp;" ","")),IF(Q10="Cursada aprobada",TRIM(IF(NOT(OR(L10="",COUNTIF($F$2:$F$46,L10)=0,COUNTIFS($F$2:$F$46,L10,$Q$2:$Q$46,"Aprobada")&gt;0,AND(Resumen!$B$15="La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","")),""))</f>
        <v/>
      </c>
    </row>
    <row r="11" customFormat="false" ht="15" hidden="false" customHeight="false" outlineLevel="0" collapsed="false">
      <c r="A11" s="8" t="s">
        <v>58</v>
      </c>
      <c r="B11" s="8"/>
      <c r="C11" s="9" t="n">
        <v>2</v>
      </c>
      <c r="D11" s="9" t="n">
        <v>1</v>
      </c>
      <c r="E11" s="9" t="s">
        <v>69</v>
      </c>
      <c r="F11" s="9" t="n">
        <v>280</v>
      </c>
      <c r="G11" s="8" t="s">
        <v>76</v>
      </c>
      <c r="H11" s="9" t="s">
        <v>71</v>
      </c>
      <c r="I11" s="9" t="n">
        <v>4</v>
      </c>
      <c r="J11" s="9"/>
      <c r="K11" s="9" t="n">
        <v>64</v>
      </c>
      <c r="L11" s="9" t="n">
        <v>180</v>
      </c>
      <c r="M11" s="9"/>
      <c r="N11" s="9"/>
      <c r="O11" s="9"/>
      <c r="P11" s="9"/>
      <c r="Q11" s="10" t="s">
        <v>62</v>
      </c>
      <c r="R11" s="9" t="str">
        <f aca="false">IF(Q11="Aprobada","Ya aprobada",IF(Q11="Cursada aprobada","Ya cursada",IF(AND(OR(L11="",COUNTIF($F$2:$F$46,L11)=0,COUNTIFS($F$2:$F$46,L11,$Q$2:$Q$46,"Aprobada")&gt;0,AND(Resumen!$B$15="La cursada aprobada",COUNTIFS($F$2:$F$46,L11,$Q$2:$Q$46,"Cursada aprobada")&gt;0)),OR(M11="",COUNTIF($F$2:$F$46,M11)=0,COUNTIFS($F$2:$F$46,M11,$Q$2:$Q$46,"Aprobada")&gt;0,AND(Resumen!$B$15="La cursada aprobada",COUNTIFS($F$2:$F$46,M11,$Q$2:$Q$46,"Cursada aprobada")&gt;0)),OR(N11="",COUNTIF($F$2:$F$46,N11)=0,COUNTIFS($F$2:$F$46,N11,$Q$2:$Q$46,"Aprobada")&gt;0,AND(Resumen!$B$15="La cursada aprobada",COUNTIFS($F$2:$F$46,N11,$Q$2:$Q$46,"Cursada aprobada")&gt;0)),OR(O11="",COUNTIF($F$2:$F$46,O11)=0,COUNTIFS($F$2:$F$46,O11,$Q$2:$Q$46,"Aprobada")&gt;0,AND(Resumen!$B$15="La cursada aprobada",COUNTIFS($F$2:$F$46,O11,$Q$2:$Q$46,"Cursada aprobada")&gt;0)),OR(P11="",COUNTIF($F$2:$F$46,P11)=0,COUNTIFS($F$2:$F$46,P11,$Q$2:$Q$46,"Aprobada")&gt;0,AND(Resumen!$B$15="La cursada aprobada",COUNTIFS($F$2:$F$46,P11,$Q$2:$Q$46,"Cursada aprobada")&gt;0))),"Sí","No")))</f>
        <v>No</v>
      </c>
      <c r="S11" s="8" t="str">
        <f aca="false">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</f>
        <v>180</v>
      </c>
      <c r="T11" s="9" t="str">
        <f aca="false">IF(Q11="Cursada aprobada",IF(AND(OR(L11="",COUNTIF($F$2:$F$46,L11)=0,COUNTIFS($F$2:$F$46,L11,$Q$2:$Q$46,"Aprobada")&gt;0),OR(M11="",COUNTIF($F$2:$F$46,M11)=0,COUNTIFS($F$2:$F$46,M11,$Q$2:$Q$46,"Aprobada")&gt;0),OR(N11="",COUNTIF($F$2:$F$46,N11)=0,COUNTIFS($F$2:$F$46,N11,$Q$2:$Q$46,"Aprobada")&gt;0),OR(O11="",COUNTIF($F$2:$F$46,O11)=0,COUNTIFS($F$2:$F$46,O11,$Q$2:$Q$46,"Aprobada")&gt;0),OR(P11="",COUNTIF($F$2:$F$46,P11)=0,COUNTIFS($F$2:$F$46,P11,$Q$2:$Q$46,"Aprobada")&gt;0)),"Sí","No"),"")</f>
        <v/>
      </c>
      <c r="U11" s="9" t="str">
        <f aca="false">IF(Q11="Aprobada",TRIM(IF(NOT(OR(L11="",COUNTIF($F$2:$F$46,L11)=0,COUNTIFS($F$2:$F$46,L11,$Q$2:$Q$46,"Aprobada")&gt;0)),L11&amp;" ","")&amp;IF(NOT(OR(M11="",COUNTIF($F$2:$F$46,M11)=0,COUNTIFS($F$2:$F$46,M11,$Q$2:$Q$46,"Aprobada")&gt;0)),M11&amp;" ","")&amp;IF(NOT(OR(N11="",COUNTIF($F$2:$F$46,N11)=0,COUNTIFS($F$2:$F$46,N11,$Q$2:$Q$46,"Aprobada")&gt;0)),N11&amp;" ","")&amp;IF(NOT(OR(O11="",COUNTIF($F$2:$F$46,O11)=0,COUNTIFS($F$2:$F$46,O11,$Q$2:$Q$46,"Aprobada")&gt;0)),O11&amp;" ","")&amp;IF(NOT(OR(P11="",COUNTIF($F$2:$F$46,P11)=0,COUNTIFS($F$2:$F$46,P11,$Q$2:$Q$46,"Aprobada")&gt;0)),P11&amp;" ","")),IF(Q11="Cursada aprobada",TRIM(IF(NOT(OR(L11="",COUNTIF($F$2:$F$46,L11)=0,COUNTIFS($F$2:$F$46,L11,$Q$2:$Q$46,"Aprobada")&gt;0,AND(Resumen!$B$15="La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","")),""))</f>
        <v/>
      </c>
    </row>
    <row r="12" customFormat="false" ht="15" hidden="false" customHeight="false" outlineLevel="0" collapsed="false">
      <c r="A12" s="8" t="s">
        <v>58</v>
      </c>
      <c r="B12" s="8"/>
      <c r="C12" s="9" t="n">
        <v>2</v>
      </c>
      <c r="D12" s="9" t="n">
        <v>1</v>
      </c>
      <c r="E12" s="9" t="s">
        <v>77</v>
      </c>
      <c r="F12" s="9" t="n">
        <v>202</v>
      </c>
      <c r="G12" s="8" t="s">
        <v>78</v>
      </c>
      <c r="H12" s="9" t="s">
        <v>71</v>
      </c>
      <c r="I12" s="9" t="n">
        <v>4</v>
      </c>
      <c r="J12" s="9" t="n">
        <v>32</v>
      </c>
      <c r="K12" s="9"/>
      <c r="L12" s="9"/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cursada",IF(AND(OR(L12="",COUNTIF($F$2:$F$46,L12)=0,COUNTIFS($F$2:$F$46,L12,$Q$2:$Q$46,"Aprobada")&gt;0,AND(Resumen!$B$15="La cursada aprobada",COUNTIFS($F$2:$F$46,L12,$Q$2:$Q$46,"Cursada aprobada")&gt;0)),OR(M12="",COUNTIF($F$2:$F$46,M12)=0,COUNTIFS($F$2:$F$46,M12,$Q$2:$Q$46,"Aprobada")&gt;0,AND(Resumen!$B$15="La cursada aprobada",COUNTIFS($F$2:$F$46,M12,$Q$2:$Q$46,"Cursada aprobada")&gt;0)),OR(N12="",COUNTIF($F$2:$F$46,N12)=0,COUNTIFS($F$2:$F$46,N12,$Q$2:$Q$46,"Aprobada")&gt;0,AND(Resumen!$B$15="La cursada aprobada",COUNTIFS($F$2:$F$46,N12,$Q$2:$Q$46,"Cursada aprobada")&gt;0)),OR(O12="",COUNTIF($F$2:$F$46,O12)=0,COUNTIFS($F$2:$F$46,O12,$Q$2:$Q$46,"Aprobada")&gt;0,AND(Resumen!$B$15="La cursada aprobada",COUNTIFS($F$2:$F$46,O12,$Q$2:$Q$46,"Cursada aprobada")&gt;0)),OR(P12="",COUNTIF($F$2:$F$46,P12)=0,COUNTIFS($F$2:$F$46,P12,$Q$2:$Q$46,"Aprobada")&gt;0,AND(Resumen!$B$15="La cursada aprobada",COUNTIFS($F$2:$F$46,P12,$Q$2:$Q$46,"Cursada aprobada")&gt;0))),"Sí","No")))</f>
        <v>Sí</v>
      </c>
      <c r="S12" s="8" t="str">
        <f aca="false">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</f>
        <v/>
      </c>
      <c r="T12" s="9" t="str">
        <f aca="false">IF(Q12="Cursada aprobada",IF(AND(OR(L12="",COUNTIF($F$2:$F$46,L12)=0,COUNTIFS($F$2:$F$46,L12,$Q$2:$Q$46,"Aprobada")&gt;0),OR(M12="",COUNTIF($F$2:$F$46,M12)=0,COUNTIFS($F$2:$F$46,M12,$Q$2:$Q$46,"Aprobada")&gt;0),OR(N12="",COUNTIF($F$2:$F$46,N12)=0,COUNTIFS($F$2:$F$46,N12,$Q$2:$Q$46,"Aprobada")&gt;0),OR(O12="",COUNTIF($F$2:$F$46,O12)=0,COUNTIFS($F$2:$F$46,O12,$Q$2:$Q$46,"Aprobada")&gt;0),OR(P12="",COUNTIF($F$2:$F$46,P12)=0,COUNTIFS($F$2:$F$46,P12,$Q$2:$Q$46,"Aprobada")&gt;0)),"Sí","No"),"")</f>
        <v/>
      </c>
      <c r="U12" s="9" t="str">
        <f aca="false">IF(Q12="Aprobada",TRIM(IF(NOT(OR(L12="",COUNTIF($F$2:$F$46,L12)=0,COUNTIFS($F$2:$F$46,L12,$Q$2:$Q$46,"Aprobada")&gt;0)),L12&amp;" ","")&amp;IF(NOT(OR(M12="",COUNTIF($F$2:$F$46,M12)=0,COUNTIFS($F$2:$F$46,M12,$Q$2:$Q$46,"Aprobada")&gt;0)),M12&amp;" ","")&amp;IF(NOT(OR(N12="",COUNTIF($F$2:$F$46,N12)=0,COUNTIFS($F$2:$F$46,N12,$Q$2:$Q$46,"Aprobada")&gt;0)),N12&amp;" ","")&amp;IF(NOT(OR(O12="",COUNTIF($F$2:$F$46,O12)=0,COUNTIFS($F$2:$F$46,O12,$Q$2:$Q$46,"Aprobada")&gt;0)),O12&amp;" ","")&amp;IF(NOT(OR(P12="",COUNTIF($F$2:$F$46,P12)=0,COUNTIFS($F$2:$F$46,P12,$Q$2:$Q$46,"Aprobada")&gt;0)),P12&amp;" ","")),IF(Q12="Cursada aprobada",TRIM(IF(NOT(OR(L12="",COUNTIF($F$2:$F$46,L12)=0,COUNTIFS($F$2:$F$46,L12,$Q$2:$Q$46,"Aprobada")&gt;0,AND(Resumen!$B$15="La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","")),""))</f>
        <v/>
      </c>
    </row>
    <row r="13" customFormat="false" ht="15" hidden="false" customHeight="false" outlineLevel="0" collapsed="false">
      <c r="A13" s="8" t="s">
        <v>58</v>
      </c>
      <c r="B13" s="8"/>
      <c r="C13" s="9" t="n">
        <v>2</v>
      </c>
      <c r="D13" s="9" t="n">
        <v>1</v>
      </c>
      <c r="E13" s="9" t="s">
        <v>77</v>
      </c>
      <c r="F13" s="9" t="n">
        <v>307</v>
      </c>
      <c r="G13" s="8" t="s">
        <v>79</v>
      </c>
      <c r="H13" s="9" t="s">
        <v>71</v>
      </c>
      <c r="I13" s="9" t="n">
        <v>4</v>
      </c>
      <c r="J13" s="9" t="n">
        <v>32</v>
      </c>
      <c r="K13" s="9"/>
      <c r="L13" s="9"/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cursada",IF(AND(OR(L13="",COUNTIF($F$2:$F$46,L13)=0,COUNTIFS($F$2:$F$46,L13,$Q$2:$Q$46,"Aprobada")&gt;0,AND(Resumen!$B$15="La cursada aprobada",COUNTIFS($F$2:$F$46,L13,$Q$2:$Q$46,"Cursada aprobada")&gt;0)),OR(M13="",COUNTIF($F$2:$F$46,M13)=0,COUNTIFS($F$2:$F$46,M13,$Q$2:$Q$46,"Aprobada")&gt;0,AND(Resumen!$B$15="La cursada aprobada",COUNTIFS($F$2:$F$46,M13,$Q$2:$Q$46,"Cursada aprobada")&gt;0)),OR(N13="",COUNTIF($F$2:$F$46,N13)=0,COUNTIFS($F$2:$F$46,N13,$Q$2:$Q$46,"Aprobada")&gt;0,AND(Resumen!$B$15="La cursada aprobada",COUNTIFS($F$2:$F$46,N13,$Q$2:$Q$46,"Cursada aprobada")&gt;0)),OR(O13="",COUNTIF($F$2:$F$46,O13)=0,COUNTIFS($F$2:$F$46,O13,$Q$2:$Q$46,"Aprobada")&gt;0,AND(Resumen!$B$15="La cursada aprobada",COUNTIFS($F$2:$F$46,O13,$Q$2:$Q$46,"Cursada aprobada")&gt;0)),OR(P13="",COUNTIF($F$2:$F$46,P13)=0,COUNTIFS($F$2:$F$46,P13,$Q$2:$Q$46,"Aprobada")&gt;0,AND(Resumen!$B$15="La cursada aprobada",COUNTIFS($F$2:$F$46,P13,$Q$2:$Q$46,"Cursada aprobada")&gt;0))),"Sí","No")))</f>
        <v>Sí</v>
      </c>
      <c r="S13" s="8" t="str">
        <f aca="false">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</f>
        <v/>
      </c>
      <c r="T13" s="9" t="str">
        <f aca="false">IF(Q13="Cursada aprobada",IF(AND(OR(L13="",COUNTIF($F$2:$F$46,L13)=0,COUNTIFS($F$2:$F$46,L13,$Q$2:$Q$46,"Aprobada")&gt;0),OR(M13="",COUNTIF($F$2:$F$46,M13)=0,COUNTIFS($F$2:$F$46,M13,$Q$2:$Q$46,"Aprobada")&gt;0),OR(N13="",COUNTIF($F$2:$F$46,N13)=0,COUNTIFS($F$2:$F$46,N13,$Q$2:$Q$46,"Aprobada")&gt;0),OR(O13="",COUNTIF($F$2:$F$46,O13)=0,COUNTIFS($F$2:$F$46,O13,$Q$2:$Q$46,"Aprobada")&gt;0),OR(P13="",COUNTIF($F$2:$F$46,P13)=0,COUNTIFS($F$2:$F$46,P13,$Q$2:$Q$46,"Aprobada")&gt;0)),"Sí","No"),"")</f>
        <v/>
      </c>
      <c r="U13" s="9" t="str">
        <f aca="false">IF(Q13="Aprobada",TRIM(IF(NOT(OR(L13="",COUNTIF($F$2:$F$46,L13)=0,COUNTIFS($F$2:$F$46,L13,$Q$2:$Q$46,"Aprobada")&gt;0)),L13&amp;" ","")&amp;IF(NOT(OR(M13="",COUNTIF($F$2:$F$46,M13)=0,COUNTIFS($F$2:$F$46,M13,$Q$2:$Q$46,"Aprobada")&gt;0)),M13&amp;" ","")&amp;IF(NOT(OR(N13="",COUNTIF($F$2:$F$46,N13)=0,COUNTIFS($F$2:$F$46,N13,$Q$2:$Q$46,"Aprobada")&gt;0)),N13&amp;" ","")&amp;IF(NOT(OR(O13="",COUNTIF($F$2:$F$46,O13)=0,COUNTIFS($F$2:$F$46,O13,$Q$2:$Q$46,"Aprobada")&gt;0)),O13&amp;" ","")&amp;IF(NOT(OR(P13="",COUNTIF($F$2:$F$46,P13)=0,COUNTIFS($F$2:$F$46,P13,$Q$2:$Q$46,"Aprobada")&gt;0)),P13&amp;" ","")),IF(Q13="Cursada aprobada",TRIM(IF(NOT(OR(L13="",COUNTIF($F$2:$F$46,L13)=0,COUNTIFS($F$2:$F$46,L13,$Q$2:$Q$46,"Aprobada")&gt;0,AND(Resumen!$B$15="La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","")),""))</f>
        <v/>
      </c>
    </row>
    <row r="14" customFormat="false" ht="15" hidden="false" customHeight="false" outlineLevel="0" collapsed="false">
      <c r="A14" s="8" t="s">
        <v>58</v>
      </c>
      <c r="B14" s="8"/>
      <c r="C14" s="9" t="n">
        <v>2</v>
      </c>
      <c r="D14" s="9" t="n">
        <v>2</v>
      </c>
      <c r="E14" s="9" t="s">
        <v>67</v>
      </c>
      <c r="F14" s="9" t="n">
        <v>226</v>
      </c>
      <c r="G14" s="8" t="s">
        <v>125</v>
      </c>
      <c r="H14" s="9" t="s">
        <v>61</v>
      </c>
      <c r="I14" s="9" t="n">
        <v>6</v>
      </c>
      <c r="J14" s="9"/>
      <c r="K14" s="9" t="n">
        <v>96</v>
      </c>
      <c r="L14" s="9" t="n">
        <v>103</v>
      </c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cursada",IF(AND(OR(L14="",COUNTIF($F$2:$F$46,L14)=0,COUNTIFS($F$2:$F$46,L14,$Q$2:$Q$46,"Aprobada")&gt;0,AND(Resumen!$B$15="La cursada aprobada",COUNTIFS($F$2:$F$46,L14,$Q$2:$Q$46,"Cursada aprobada")&gt;0)),OR(M14="",COUNTIF($F$2:$F$46,M14)=0,COUNTIFS($F$2:$F$46,M14,$Q$2:$Q$46,"Aprobada")&gt;0,AND(Resumen!$B$15="La cursada aprobada",COUNTIFS($F$2:$F$46,M14,$Q$2:$Q$46,"Cursada aprobada")&gt;0)),OR(N14="",COUNTIF($F$2:$F$46,N14)=0,COUNTIFS($F$2:$F$46,N14,$Q$2:$Q$46,"Aprobada")&gt;0,AND(Resumen!$B$15="La cursada aprobada",COUNTIFS($F$2:$F$46,N14,$Q$2:$Q$46,"Cursada aprobada")&gt;0)),OR(O14="",COUNTIF($F$2:$F$46,O14)=0,COUNTIFS($F$2:$F$46,O14,$Q$2:$Q$46,"Aprobada")&gt;0,AND(Resumen!$B$15="La cursada aprobada",COUNTIFS($F$2:$F$46,O14,$Q$2:$Q$46,"Cursada aprobada")&gt;0)),OR(P14="",COUNTIF($F$2:$F$46,P14)=0,COUNTIFS($F$2:$F$46,P14,$Q$2:$Q$46,"Aprobada")&gt;0,AND(Resumen!$B$15="La cursada aprobada",COUNTIFS($F$2:$F$46,P14,$Q$2:$Q$46,"Cursada aprobada")&gt;0))),"Sí","No")))</f>
        <v>No</v>
      </c>
      <c r="S14" s="8" t="str">
        <f aca="false">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</f>
        <v>103</v>
      </c>
      <c r="T14" s="9" t="str">
        <f aca="false">IF(Q14="Cursada aprobada",IF(AND(OR(L14="",COUNTIF($F$2:$F$46,L14)=0,COUNTIFS($F$2:$F$46,L14,$Q$2:$Q$46,"Aprobada")&gt;0),OR(M14="",COUNTIF($F$2:$F$46,M14)=0,COUNTIFS($F$2:$F$46,M14,$Q$2:$Q$46,"Aprobada")&gt;0),OR(N14="",COUNTIF($F$2:$F$46,N14)=0,COUNTIFS($F$2:$F$46,N14,$Q$2:$Q$46,"Aprobada")&gt;0),OR(O14="",COUNTIF($F$2:$F$46,O14)=0,COUNTIFS($F$2:$F$46,O14,$Q$2:$Q$46,"Aprobada")&gt;0),OR(P14="",COUNTIF($F$2:$F$46,P14)=0,COUNTIFS($F$2:$F$46,P14,$Q$2:$Q$46,"Aprobada")&gt;0)),"Sí","No"),"")</f>
        <v/>
      </c>
      <c r="U14" s="9" t="str">
        <f aca="false">IF(Q14="Aprobada",TRIM(IF(NOT(OR(L14="",COUNTIF($F$2:$F$46,L14)=0,COUNTIFS($F$2:$F$46,L14,$Q$2:$Q$46,"Aprobada")&gt;0)),L14&amp;" ","")&amp;IF(NOT(OR(M14="",COUNTIF($F$2:$F$46,M14)=0,COUNTIFS($F$2:$F$46,M14,$Q$2:$Q$46,"Aprobada")&gt;0)),M14&amp;" ","")&amp;IF(NOT(OR(N14="",COUNTIF($F$2:$F$46,N14)=0,COUNTIFS($F$2:$F$46,N14,$Q$2:$Q$46,"Aprobada")&gt;0)),N14&amp;" ","")&amp;IF(NOT(OR(O14="",COUNTIF($F$2:$F$46,O14)=0,COUNTIFS($F$2:$F$46,O14,$Q$2:$Q$46,"Aprobada")&gt;0)),O14&amp;" ","")&amp;IF(NOT(OR(P14="",COUNTIF($F$2:$F$46,P14)=0,COUNTIFS($F$2:$F$46,P14,$Q$2:$Q$46,"Aprobada")&gt;0)),P14&amp;" ","")),IF(Q14="Cursada aprobada",TRIM(IF(NOT(OR(L14="",COUNTIF($F$2:$F$46,L14)=0,COUNTIFS($F$2:$F$46,L14,$Q$2:$Q$46,"Aprobada")&gt;0,AND(Resumen!$B$15="La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","")),""))</f>
        <v/>
      </c>
    </row>
    <row r="15" customFormat="false" ht="15" hidden="false" customHeight="false" outlineLevel="0" collapsed="false">
      <c r="A15" s="8" t="s">
        <v>58</v>
      </c>
      <c r="B15" s="8"/>
      <c r="C15" s="9" t="n">
        <v>2</v>
      </c>
      <c r="D15" s="9" t="n">
        <v>2</v>
      </c>
      <c r="E15" s="9" t="s">
        <v>59</v>
      </c>
      <c r="F15" s="9" t="n">
        <v>208</v>
      </c>
      <c r="G15" s="8" t="s">
        <v>81</v>
      </c>
      <c r="H15" s="9" t="s">
        <v>61</v>
      </c>
      <c r="I15" s="9" t="n">
        <v>6</v>
      </c>
      <c r="J15" s="9"/>
      <c r="K15" s="9" t="n">
        <v>96</v>
      </c>
      <c r="L15" s="9" t="n">
        <v>101</v>
      </c>
      <c r="M15" s="9" t="n">
        <v>209</v>
      </c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cursada",IF(AND(OR(L15="",COUNTIF($F$2:$F$46,L15)=0,COUNTIFS($F$2:$F$46,L15,$Q$2:$Q$46,"Aprobada")&gt;0,AND(Resumen!$B$15="La cursada aprobada",COUNTIFS($F$2:$F$46,L15,$Q$2:$Q$46,"Cursada aprobada")&gt;0)),OR(M15="",COUNTIF($F$2:$F$46,M15)=0,COUNTIFS($F$2:$F$46,M15,$Q$2:$Q$46,"Aprobada")&gt;0,AND(Resumen!$B$15="La cursada aprobada",COUNTIFS($F$2:$F$46,M15,$Q$2:$Q$46,"Cursada aprobada")&gt;0)),OR(N15="",COUNTIF($F$2:$F$46,N15)=0,COUNTIFS($F$2:$F$46,N15,$Q$2:$Q$46,"Aprobada")&gt;0,AND(Resumen!$B$15="La cursada aprobada",COUNTIFS($F$2:$F$46,N15,$Q$2:$Q$46,"Cursada aprobada")&gt;0)),OR(O15="",COUNTIF($F$2:$F$46,O15)=0,COUNTIFS($F$2:$F$46,O15,$Q$2:$Q$46,"Aprobada")&gt;0,AND(Resumen!$B$15="La cursada aprobada",COUNTIFS($F$2:$F$46,O15,$Q$2:$Q$46,"Cursada aprobada")&gt;0)),OR(P15="",COUNTIF($F$2:$F$46,P15)=0,COUNTIFS($F$2:$F$46,P15,$Q$2:$Q$46,"Aprobada")&gt;0,AND(Resumen!$B$15="La cursada aprobada",COUNTIFS($F$2:$F$46,P15,$Q$2:$Q$46,"Cursada aprobada")&gt;0))),"Sí","No")))</f>
        <v>No</v>
      </c>
      <c r="S15" s="8" t="str">
        <f aca="false">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</f>
        <v>101 209</v>
      </c>
      <c r="T15" s="9" t="str">
        <f aca="false">IF(Q15="Cursada aprobada",IF(AND(OR(L15="",COUNTIF($F$2:$F$46,L15)=0,COUNTIFS($F$2:$F$46,L15,$Q$2:$Q$46,"Aprobada")&gt;0),OR(M15="",COUNTIF($F$2:$F$46,M15)=0,COUNTIFS($F$2:$F$46,M15,$Q$2:$Q$46,"Aprobada")&gt;0),OR(N15="",COUNTIF($F$2:$F$46,N15)=0,COUNTIFS($F$2:$F$46,N15,$Q$2:$Q$46,"Aprobada")&gt;0),OR(O15="",COUNTIF($F$2:$F$46,O15)=0,COUNTIFS($F$2:$F$46,O15,$Q$2:$Q$46,"Aprobada")&gt;0),OR(P15="",COUNTIF($F$2:$F$46,P15)=0,COUNTIFS($F$2:$F$46,P15,$Q$2:$Q$46,"Aprobada")&gt;0)),"Sí","No"),"")</f>
        <v/>
      </c>
      <c r="U15" s="9" t="str">
        <f aca="false">IF(Q15="Aprobada",TRIM(IF(NOT(OR(L15="",COUNTIF($F$2:$F$46,L15)=0,COUNTIFS($F$2:$F$46,L15,$Q$2:$Q$46,"Aprobada")&gt;0)),L15&amp;" ","")&amp;IF(NOT(OR(M15="",COUNTIF($F$2:$F$46,M15)=0,COUNTIFS($F$2:$F$46,M15,$Q$2:$Q$46,"Aprobada")&gt;0)),M15&amp;" ","")&amp;IF(NOT(OR(N15="",COUNTIF($F$2:$F$46,N15)=0,COUNTIFS($F$2:$F$46,N15,$Q$2:$Q$46,"Aprobada")&gt;0)),N15&amp;" ","")&amp;IF(NOT(OR(O15="",COUNTIF($F$2:$F$46,O15)=0,COUNTIFS($F$2:$F$46,O15,$Q$2:$Q$46,"Aprobada")&gt;0)),O15&amp;" ","")&amp;IF(NOT(OR(P15="",COUNTIF($F$2:$F$46,P15)=0,COUNTIFS($F$2:$F$46,P15,$Q$2:$Q$46,"Aprobada")&gt;0)),P15&amp;" ","")),IF(Q15="Cursada aprobada",TRIM(IF(NOT(OR(L15="",COUNTIF($F$2:$F$46,L15)=0,COUNTIFS($F$2:$F$46,L15,$Q$2:$Q$46,"Aprobada")&gt;0,AND(Resumen!$B$15="La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","")),""))</f>
        <v/>
      </c>
    </row>
    <row r="16" customFormat="false" ht="15" hidden="false" customHeight="false" outlineLevel="0" collapsed="false">
      <c r="A16" s="8" t="s">
        <v>58</v>
      </c>
      <c r="B16" s="8"/>
      <c r="C16" s="9" t="n">
        <v>2</v>
      </c>
      <c r="D16" s="9" t="n">
        <v>2</v>
      </c>
      <c r="E16" s="9" t="s">
        <v>65</v>
      </c>
      <c r="F16" s="9" t="n">
        <v>250</v>
      </c>
      <c r="G16" s="8" t="s">
        <v>82</v>
      </c>
      <c r="H16" s="9" t="s">
        <v>61</v>
      </c>
      <c r="I16" s="9" t="n">
        <v>6</v>
      </c>
      <c r="J16" s="9"/>
      <c r="K16" s="9" t="n">
        <v>96</v>
      </c>
      <c r="L16" s="9" t="n">
        <v>209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cursada",IF(AND(OR(L16="",COUNTIF($F$2:$F$46,L16)=0,COUNTIFS($F$2:$F$46,L16,$Q$2:$Q$46,"Aprobada")&gt;0,AND(Resumen!$B$15="La cursada aprobada",COUNTIFS($F$2:$F$46,L16,$Q$2:$Q$46,"Cursada aprobada")&gt;0)),OR(M16="",COUNTIF($F$2:$F$46,M16)=0,COUNTIFS($F$2:$F$46,M16,$Q$2:$Q$46,"Aprobada")&gt;0,AND(Resumen!$B$15="La cursada aprobada",COUNTIFS($F$2:$F$46,M16,$Q$2:$Q$46,"Cursada aprobada")&gt;0)),OR(N16="",COUNTIF($F$2:$F$46,N16)=0,COUNTIFS($F$2:$F$46,N16,$Q$2:$Q$46,"Aprobada")&gt;0,AND(Resumen!$B$15="La cursada aprobada",COUNTIFS($F$2:$F$46,N16,$Q$2:$Q$46,"Cursada aprobada")&gt;0)),OR(O16="",COUNTIF($F$2:$F$46,O16)=0,COUNTIFS($F$2:$F$46,O16,$Q$2:$Q$46,"Aprobada")&gt;0,AND(Resumen!$B$15="La cursada aprobada",COUNTIFS($F$2:$F$46,O16,$Q$2:$Q$46,"Cursada aprobada")&gt;0)),OR(P16="",COUNTIF($F$2:$F$46,P16)=0,COUNTIFS($F$2:$F$46,P16,$Q$2:$Q$46,"Aprobada")&gt;0,AND(Resumen!$B$15="La cursada aprobada",COUNTIFS($F$2:$F$46,P16,$Q$2:$Q$46,"Cursada aprobada")&gt;0))),"Sí","No")))</f>
        <v>No</v>
      </c>
      <c r="S16" s="8" t="str">
        <f aca="false">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</f>
        <v>209</v>
      </c>
      <c r="T16" s="9" t="str">
        <f aca="false">IF(Q16="Cursada aprobada",IF(AND(OR(L16="",COUNTIF($F$2:$F$46,L16)=0,COUNTIFS($F$2:$F$46,L16,$Q$2:$Q$46,"Aprobada")&gt;0),OR(M16="",COUNTIF($F$2:$F$46,M16)=0,COUNTIFS($F$2:$F$46,M16,$Q$2:$Q$46,"Aprobada")&gt;0),OR(N16="",COUNTIF($F$2:$F$46,N16)=0,COUNTIFS($F$2:$F$46,N16,$Q$2:$Q$46,"Aprobada")&gt;0),OR(O16="",COUNTIF($F$2:$F$46,O16)=0,COUNTIFS($F$2:$F$46,O16,$Q$2:$Q$46,"Aprobada")&gt;0),OR(P16="",COUNTIF($F$2:$F$46,P16)=0,COUNTIFS($F$2:$F$46,P16,$Q$2:$Q$46,"Aprobada")&gt;0)),"Sí","No"),"")</f>
        <v/>
      </c>
      <c r="U16" s="9" t="str">
        <f aca="false">IF(Q16="Aprobada",TRIM(IF(NOT(OR(L16="",COUNTIF($F$2:$F$46,L16)=0,COUNTIFS($F$2:$F$46,L16,$Q$2:$Q$46,"Aprobada")&gt;0)),L16&amp;" ","")&amp;IF(NOT(OR(M16="",COUNTIF($F$2:$F$46,M16)=0,COUNTIFS($F$2:$F$46,M16,$Q$2:$Q$46,"Aprobada")&gt;0)),M16&amp;" ","")&amp;IF(NOT(OR(N16="",COUNTIF($F$2:$F$46,N16)=0,COUNTIFS($F$2:$F$46,N16,$Q$2:$Q$46,"Aprobada")&gt;0)),N16&amp;" ","")&amp;IF(NOT(OR(O16="",COUNTIF($F$2:$F$46,O16)=0,COUNTIFS($F$2:$F$46,O16,$Q$2:$Q$46,"Aprobada")&gt;0)),O16&amp;" ","")&amp;IF(NOT(OR(P16="",COUNTIF($F$2:$F$46,P16)=0,COUNTIFS($F$2:$F$46,P16,$Q$2:$Q$46,"Aprobada")&gt;0)),P16&amp;" ","")),IF(Q16="Cursada aprobada",TRIM(IF(NOT(OR(L16="",COUNTIF($F$2:$F$46,L16)=0,COUNTIFS($F$2:$F$46,L16,$Q$2:$Q$46,"Aprobada")&gt;0,AND(Resumen!$B$15="La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","")),""))</f>
        <v/>
      </c>
    </row>
    <row r="17" customFormat="false" ht="15" hidden="false" customHeight="false" outlineLevel="0" collapsed="false">
      <c r="A17" s="8" t="s">
        <v>83</v>
      </c>
      <c r="B17" s="8"/>
      <c r="C17" s="9" t="n">
        <v>3</v>
      </c>
      <c r="D17" s="9" t="n">
        <v>1</v>
      </c>
      <c r="E17" s="9" t="s">
        <v>63</v>
      </c>
      <c r="F17" s="9" t="n">
        <v>330</v>
      </c>
      <c r="G17" s="8" t="s">
        <v>126</v>
      </c>
      <c r="H17" s="9" t="s">
        <v>61</v>
      </c>
      <c r="I17" s="9" t="n">
        <v>6</v>
      </c>
      <c r="J17" s="9"/>
      <c r="K17" s="9" t="n">
        <v>96</v>
      </c>
      <c r="L17" s="9" t="n">
        <v>308</v>
      </c>
      <c r="M17" s="9" t="n">
        <v>103</v>
      </c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cursada",IF(AND(OR(L17="",COUNTIF($F$2:$F$46,L17)=0,COUNTIFS($F$2:$F$46,L17,$Q$2:$Q$46,"Aprobada")&gt;0,AND(Resumen!$B$15="La cursada aprobada",COUNTIFS($F$2:$F$46,L17,$Q$2:$Q$46,"Cursada aprobada")&gt;0)),OR(M17="",COUNTIF($F$2:$F$46,M17)=0,COUNTIFS($F$2:$F$46,M17,$Q$2:$Q$46,"Aprobada")&gt;0,AND(Resumen!$B$15="La cursada aprobada",COUNTIFS($F$2:$F$46,M17,$Q$2:$Q$46,"Cursada aprobada")&gt;0)),OR(N17="",COUNTIF($F$2:$F$46,N17)=0,COUNTIFS($F$2:$F$46,N17,$Q$2:$Q$46,"Aprobada")&gt;0,AND(Resumen!$B$15="La cursada aprobada",COUNTIFS($F$2:$F$46,N17,$Q$2:$Q$46,"Cursada aprobada")&gt;0)),OR(O17="",COUNTIF($F$2:$F$46,O17)=0,COUNTIFS($F$2:$F$46,O17,$Q$2:$Q$46,"Aprobada")&gt;0,AND(Resumen!$B$15="La cursada aprobada",COUNTIFS($F$2:$F$46,O17,$Q$2:$Q$46,"Cursada aprobada")&gt;0)),OR(P17="",COUNTIF($F$2:$F$46,P17)=0,COUNTIFS($F$2:$F$46,P17,$Q$2:$Q$46,"Aprobada")&gt;0,AND(Resumen!$B$15="La cursada aprobada",COUNTIFS($F$2:$F$46,P17,$Q$2:$Q$46,"Cursada aprobada")&gt;0))),"Sí","No")))</f>
        <v>No</v>
      </c>
      <c r="S17" s="8" t="str">
        <f aca="false">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</f>
        <v>308 103</v>
      </c>
      <c r="T17" s="9" t="str">
        <f aca="false">IF(Q17="Cursada aprobada",IF(AND(OR(L17="",COUNTIF($F$2:$F$46,L17)=0,COUNTIFS($F$2:$F$46,L17,$Q$2:$Q$46,"Aprobada")&gt;0),OR(M17="",COUNTIF($F$2:$F$46,M17)=0,COUNTIFS($F$2:$F$46,M17,$Q$2:$Q$46,"Aprobada")&gt;0),OR(N17="",COUNTIF($F$2:$F$46,N17)=0,COUNTIFS($F$2:$F$46,N17,$Q$2:$Q$46,"Aprobada")&gt;0),OR(O17="",COUNTIF($F$2:$F$46,O17)=0,COUNTIFS($F$2:$F$46,O17,$Q$2:$Q$46,"Aprobada")&gt;0),OR(P17="",COUNTIF($F$2:$F$46,P17)=0,COUNTIFS($F$2:$F$46,P17,$Q$2:$Q$46,"Aprobada")&gt;0)),"Sí","No"),"")</f>
        <v/>
      </c>
      <c r="U17" s="9" t="str">
        <f aca="false">IF(Q17="Aprobada",TRIM(IF(NOT(OR(L17="",COUNTIF($F$2:$F$46,L17)=0,COUNTIFS($F$2:$F$46,L17,$Q$2:$Q$46,"Aprobada")&gt;0)),L17&amp;" ","")&amp;IF(NOT(OR(M17="",COUNTIF($F$2:$F$46,M17)=0,COUNTIFS($F$2:$F$46,M17,$Q$2:$Q$46,"Aprobada")&gt;0)),M17&amp;" ","")&amp;IF(NOT(OR(N17="",COUNTIF($F$2:$F$46,N17)=0,COUNTIFS($F$2:$F$46,N17,$Q$2:$Q$46,"Aprobada")&gt;0)),N17&amp;" ","")&amp;IF(NOT(OR(O17="",COUNTIF($F$2:$F$46,O17)=0,COUNTIFS($F$2:$F$46,O17,$Q$2:$Q$46,"Aprobada")&gt;0)),O17&amp;" ","")&amp;IF(NOT(OR(P17="",COUNTIF($F$2:$F$46,P17)=0,COUNTIFS($F$2:$F$46,P17,$Q$2:$Q$46,"Aprobada")&gt;0)),P17&amp;" ","")),IF(Q17="Cursada aprobada",TRIM(IF(NOT(OR(L17="",COUNTIF($F$2:$F$46,L17)=0,COUNTIFS($F$2:$F$46,L17,$Q$2:$Q$46,"Aprobada")&gt;0,AND(Resumen!$B$15="La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","")),""))</f>
        <v/>
      </c>
    </row>
    <row r="18" customFormat="false" ht="15" hidden="false" customHeight="false" outlineLevel="0" collapsed="false">
      <c r="A18" s="8" t="s">
        <v>83</v>
      </c>
      <c r="B18" s="8"/>
      <c r="C18" s="9" t="n">
        <v>3</v>
      </c>
      <c r="D18" s="9" t="n">
        <v>1</v>
      </c>
      <c r="E18" s="9" t="s">
        <v>65</v>
      </c>
      <c r="F18" s="9" t="n">
        <v>424</v>
      </c>
      <c r="G18" s="8" t="s">
        <v>86</v>
      </c>
      <c r="H18" s="9" t="s">
        <v>61</v>
      </c>
      <c r="I18" s="9" t="n">
        <v>5</v>
      </c>
      <c r="J18" s="9"/>
      <c r="K18" s="9" t="n">
        <v>80</v>
      </c>
      <c r="L18" s="9" t="n">
        <v>250</v>
      </c>
      <c r="M18" s="9"/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cursada",IF(AND(OR(L18="",COUNTIF($F$2:$F$46,L18)=0,COUNTIFS($F$2:$F$46,L18,$Q$2:$Q$46,"Aprobada")&gt;0,AND(Resumen!$B$15="La cursada aprobada",COUNTIFS($F$2:$F$46,L18,$Q$2:$Q$46,"Cursada aprobada")&gt;0)),OR(M18="",COUNTIF($F$2:$F$46,M18)=0,COUNTIFS($F$2:$F$46,M18,$Q$2:$Q$46,"Aprobada")&gt;0,AND(Resumen!$B$15="La cursada aprobada",COUNTIFS($F$2:$F$46,M18,$Q$2:$Q$46,"Cursada aprobada")&gt;0)),OR(N18="",COUNTIF($F$2:$F$46,N18)=0,COUNTIFS($F$2:$F$46,N18,$Q$2:$Q$46,"Aprobada")&gt;0,AND(Resumen!$B$15="La cursada aprobada",COUNTIFS($F$2:$F$46,N18,$Q$2:$Q$46,"Cursada aprobada")&gt;0)),OR(O18="",COUNTIF($F$2:$F$46,O18)=0,COUNTIFS($F$2:$F$46,O18,$Q$2:$Q$46,"Aprobada")&gt;0,AND(Resumen!$B$15="La cursada aprobada",COUNTIFS($F$2:$F$46,O18,$Q$2:$Q$46,"Cursada aprobada")&gt;0)),OR(P18="",COUNTIF($F$2:$F$46,P18)=0,COUNTIFS($F$2:$F$46,P18,$Q$2:$Q$46,"Aprobada")&gt;0,AND(Resumen!$B$15="La cursada aprobada",COUNTIFS($F$2:$F$46,P18,$Q$2:$Q$46,"Cursada aprobada")&gt;0))),"Sí","No")))</f>
        <v>No</v>
      </c>
      <c r="S18" s="8" t="str">
        <f aca="false">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</f>
        <v>250</v>
      </c>
      <c r="T18" s="9" t="str">
        <f aca="false">IF(Q18="Cursada aprobada",IF(AND(OR(L18="",COUNTIF($F$2:$F$46,L18)=0,COUNTIFS($F$2:$F$46,L18,$Q$2:$Q$46,"Aprobada")&gt;0),OR(M18="",COUNTIF($F$2:$F$46,M18)=0,COUNTIFS($F$2:$F$46,M18,$Q$2:$Q$46,"Aprobada")&gt;0),OR(N18="",COUNTIF($F$2:$F$46,N18)=0,COUNTIFS($F$2:$F$46,N18,$Q$2:$Q$46,"Aprobada")&gt;0),OR(O18="",COUNTIF($F$2:$F$46,O18)=0,COUNTIFS($F$2:$F$46,O18,$Q$2:$Q$46,"Aprobada")&gt;0),OR(P18="",COUNTIF($F$2:$F$46,P18)=0,COUNTIFS($F$2:$F$46,P18,$Q$2:$Q$46,"Aprobada")&gt;0)),"Sí","No"),"")</f>
        <v/>
      </c>
      <c r="U18" s="9" t="str">
        <f aca="false">IF(Q18="Aprobada",TRIM(IF(NOT(OR(L18="",COUNTIF($F$2:$F$46,L18)=0,COUNTIFS($F$2:$F$46,L18,$Q$2:$Q$46,"Aprobada")&gt;0)),L18&amp;" ","")&amp;IF(NOT(OR(M18="",COUNTIF($F$2:$F$46,M18)=0,COUNTIFS($F$2:$F$46,M18,$Q$2:$Q$46,"Aprobada")&gt;0)),M18&amp;" ","")&amp;IF(NOT(OR(N18="",COUNTIF($F$2:$F$46,N18)=0,COUNTIFS($F$2:$F$46,N18,$Q$2:$Q$46,"Aprobada")&gt;0)),N18&amp;" ","")&amp;IF(NOT(OR(O18="",COUNTIF($F$2:$F$46,O18)=0,COUNTIFS($F$2:$F$46,O18,$Q$2:$Q$46,"Aprobada")&gt;0)),O18&amp;" ","")&amp;IF(NOT(OR(P18="",COUNTIF($F$2:$F$46,P18)=0,COUNTIFS($F$2:$F$46,P18,$Q$2:$Q$46,"Aprobada")&gt;0)),P18&amp;" ","")),IF(Q18="Cursada aprobada",TRIM(IF(NOT(OR(L18="",COUNTIF($F$2:$F$46,L18)=0,COUNTIFS($F$2:$F$46,L18,$Q$2:$Q$46,"Aprobada")&gt;0,AND(Resumen!$B$15="La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","")),""))</f>
        <v/>
      </c>
    </row>
    <row r="19" customFormat="false" ht="15" hidden="false" customHeight="false" outlineLevel="0" collapsed="false">
      <c r="A19" s="8" t="s">
        <v>83</v>
      </c>
      <c r="B19" s="8"/>
      <c r="C19" s="9" t="n">
        <v>3</v>
      </c>
      <c r="D19" s="9" t="n">
        <v>1</v>
      </c>
      <c r="E19" s="9" t="s">
        <v>77</v>
      </c>
      <c r="F19" s="9" t="n">
        <v>425</v>
      </c>
      <c r="G19" s="8" t="s">
        <v>127</v>
      </c>
      <c r="H19" s="9" t="s">
        <v>71</v>
      </c>
      <c r="I19" s="9" t="n">
        <v>4</v>
      </c>
      <c r="J19" s="9"/>
      <c r="K19" s="9" t="n">
        <v>64</v>
      </c>
      <c r="L19" s="9" t="n">
        <v>202</v>
      </c>
      <c r="M19" s="9" t="n">
        <v>307</v>
      </c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cursada",IF(AND(OR(L19="",COUNTIF($F$2:$F$46,L19)=0,COUNTIFS($F$2:$F$46,L19,$Q$2:$Q$46,"Aprobada")&gt;0,AND(Resumen!$B$15="La cursada aprobada",COUNTIFS($F$2:$F$46,L19,$Q$2:$Q$46,"Cursada aprobada")&gt;0)),OR(M19="",COUNTIF($F$2:$F$46,M19)=0,COUNTIFS($F$2:$F$46,M19,$Q$2:$Q$46,"Aprobada")&gt;0,AND(Resumen!$B$15="La cursada aprobada",COUNTIFS($F$2:$F$46,M19,$Q$2:$Q$46,"Cursada aprobada")&gt;0)),OR(N19="",COUNTIF($F$2:$F$46,N19)=0,COUNTIFS($F$2:$F$46,N19,$Q$2:$Q$46,"Aprobada")&gt;0,AND(Resumen!$B$15="La cursada aprobada",COUNTIFS($F$2:$F$46,N19,$Q$2:$Q$46,"Cursada aprobada")&gt;0)),OR(O19="",COUNTIF($F$2:$F$46,O19)=0,COUNTIFS($F$2:$F$46,O19,$Q$2:$Q$46,"Aprobada")&gt;0,AND(Resumen!$B$15="La cursada aprobada",COUNTIFS($F$2:$F$46,O19,$Q$2:$Q$46,"Cursada aprobada")&gt;0)),OR(P19="",COUNTIF($F$2:$F$46,P19)=0,COUNTIFS($F$2:$F$46,P19,$Q$2:$Q$46,"Aprobada")&gt;0,AND(Resumen!$B$15="La cursada aprobada",COUNTIFS($F$2:$F$46,P19,$Q$2:$Q$46,"Cursada aprobada")&gt;0))),"Sí","No")))</f>
        <v>No</v>
      </c>
      <c r="S19" s="8" t="str">
        <f aca="false">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</f>
        <v>202 307</v>
      </c>
      <c r="T19" s="9" t="str">
        <f aca="false">IF(Q19="Cursada aprobada",IF(AND(OR(L19="",COUNTIF($F$2:$F$46,L19)=0,COUNTIFS($F$2:$F$46,L19,$Q$2:$Q$46,"Aprobada")&gt;0),OR(M19="",COUNTIF($F$2:$F$46,M19)=0,COUNTIFS($F$2:$F$46,M19,$Q$2:$Q$46,"Aprobada")&gt;0),OR(N19="",COUNTIF($F$2:$F$46,N19)=0,COUNTIFS($F$2:$F$46,N19,$Q$2:$Q$46,"Aprobada")&gt;0),OR(O19="",COUNTIF($F$2:$F$46,O19)=0,COUNTIFS($F$2:$F$46,O19,$Q$2:$Q$46,"Aprobada")&gt;0),OR(P19="",COUNTIF($F$2:$F$46,P19)=0,COUNTIFS($F$2:$F$46,P19,$Q$2:$Q$46,"Aprobada")&gt;0)),"Sí","No"),"")</f>
        <v/>
      </c>
      <c r="U19" s="9" t="str">
        <f aca="false">IF(Q19="Aprobada",TRIM(IF(NOT(OR(L19="",COUNTIF($F$2:$F$46,L19)=0,COUNTIFS($F$2:$F$46,L19,$Q$2:$Q$46,"Aprobada")&gt;0)),L19&amp;" ","")&amp;IF(NOT(OR(M19="",COUNTIF($F$2:$F$46,M19)=0,COUNTIFS($F$2:$F$46,M19,$Q$2:$Q$46,"Aprobada")&gt;0)),M19&amp;" ","")&amp;IF(NOT(OR(N19="",COUNTIF($F$2:$F$46,N19)=0,COUNTIFS($F$2:$F$46,N19,$Q$2:$Q$46,"Aprobada")&gt;0)),N19&amp;" ","")&amp;IF(NOT(OR(O19="",COUNTIF($F$2:$F$46,O19)=0,COUNTIFS($F$2:$F$46,O19,$Q$2:$Q$46,"Aprobada")&gt;0)),O19&amp;" ","")&amp;IF(NOT(OR(P19="",COUNTIF($F$2:$F$46,P19)=0,COUNTIFS($F$2:$F$46,P19,$Q$2:$Q$46,"Aprobada")&gt;0)),P19&amp;" ","")),IF(Q19="Cursada aprobada",TRIM(IF(NOT(OR(L19="",COUNTIF($F$2:$F$46,L19)=0,COUNTIFS($F$2:$F$46,L19,$Q$2:$Q$46,"Aprobada")&gt;0,AND(Resumen!$B$15="La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","")),""))</f>
        <v/>
      </c>
    </row>
    <row r="20" customFormat="false" ht="15" hidden="false" customHeight="false" outlineLevel="0" collapsed="false">
      <c r="A20" s="8" t="s">
        <v>83</v>
      </c>
      <c r="B20" s="8"/>
      <c r="C20" s="9" t="n">
        <v>3</v>
      </c>
      <c r="D20" s="9" t="n">
        <v>1</v>
      </c>
      <c r="E20" s="9" t="s">
        <v>63</v>
      </c>
      <c r="F20" s="9" t="n">
        <v>380</v>
      </c>
      <c r="G20" s="8" t="s">
        <v>128</v>
      </c>
      <c r="H20" s="9" t="s">
        <v>61</v>
      </c>
      <c r="I20" s="9" t="n">
        <v>4</v>
      </c>
      <c r="J20" s="9"/>
      <c r="K20" s="9" t="n">
        <v>64</v>
      </c>
      <c r="L20" s="9" t="n">
        <v>308</v>
      </c>
      <c r="M20" s="9"/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cursada",IF(AND(OR(L20="",COUNTIF($F$2:$F$46,L20)=0,COUNTIFS($F$2:$F$46,L20,$Q$2:$Q$46,"Aprobada")&gt;0,AND(Resumen!$B$15="La cursada aprobada",COUNTIFS($F$2:$F$46,L20,$Q$2:$Q$46,"Cursada aprobada")&gt;0)),OR(M20="",COUNTIF($F$2:$F$46,M20)=0,COUNTIFS($F$2:$F$46,M20,$Q$2:$Q$46,"Aprobada")&gt;0,AND(Resumen!$B$15="La cursada aprobada",COUNTIFS($F$2:$F$46,M20,$Q$2:$Q$46,"Cursada aprobada")&gt;0)),OR(N20="",COUNTIF($F$2:$F$46,N20)=0,COUNTIFS($F$2:$F$46,N20,$Q$2:$Q$46,"Aprobada")&gt;0,AND(Resumen!$B$15="La cursada aprobada",COUNTIFS($F$2:$F$46,N20,$Q$2:$Q$46,"Cursada aprobada")&gt;0)),OR(O20="",COUNTIF($F$2:$F$46,O20)=0,COUNTIFS($F$2:$F$46,O20,$Q$2:$Q$46,"Aprobada")&gt;0,AND(Resumen!$B$15="La cursada aprobada",COUNTIFS($F$2:$F$46,O20,$Q$2:$Q$46,"Cursada aprobada")&gt;0)),OR(P20="",COUNTIF($F$2:$F$46,P20)=0,COUNTIFS($F$2:$F$46,P20,$Q$2:$Q$46,"Aprobada")&gt;0,AND(Resumen!$B$15="La cursada aprobada",COUNTIFS($F$2:$F$46,P20,$Q$2:$Q$46,"Cursada aprobada")&gt;0))),"Sí","No")))</f>
        <v>No</v>
      </c>
      <c r="S20" s="8" t="str">
        <f aca="false">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</f>
        <v>308</v>
      </c>
      <c r="T20" s="9" t="str">
        <f aca="false">IF(Q20="Cursada aprobada",IF(AND(OR(L20="",COUNTIF($F$2:$F$46,L20)=0,COUNTIFS($F$2:$F$46,L20,$Q$2:$Q$46,"Aprobada")&gt;0),OR(M20="",COUNTIF($F$2:$F$46,M20)=0,COUNTIFS($F$2:$F$46,M20,$Q$2:$Q$46,"Aprobada")&gt;0),OR(N20="",COUNTIF($F$2:$F$46,N20)=0,COUNTIFS($F$2:$F$46,N20,$Q$2:$Q$46,"Aprobada")&gt;0),OR(O20="",COUNTIF($F$2:$F$46,O20)=0,COUNTIFS($F$2:$F$46,O20,$Q$2:$Q$46,"Aprobada")&gt;0),OR(P20="",COUNTIF($F$2:$F$46,P20)=0,COUNTIFS($F$2:$F$46,P20,$Q$2:$Q$46,"Aprobada")&gt;0)),"Sí","No"),"")</f>
        <v/>
      </c>
      <c r="U20" s="9" t="str">
        <f aca="false">IF(Q20="Aprobada",TRIM(IF(NOT(OR(L20="",COUNTIF($F$2:$F$46,L20)=0,COUNTIFS($F$2:$F$46,L20,$Q$2:$Q$46,"Aprobada")&gt;0)),L20&amp;" ","")&amp;IF(NOT(OR(M20="",COUNTIF($F$2:$F$46,M20)=0,COUNTIFS($F$2:$F$46,M20,$Q$2:$Q$46,"Aprobada")&gt;0)),M20&amp;" ","")&amp;IF(NOT(OR(N20="",COUNTIF($F$2:$F$46,N20)=0,COUNTIFS($F$2:$F$46,N20,$Q$2:$Q$46,"Aprobada")&gt;0)),N20&amp;" ","")&amp;IF(NOT(OR(O20="",COUNTIF($F$2:$F$46,O20)=0,COUNTIFS($F$2:$F$46,O20,$Q$2:$Q$46,"Aprobada")&gt;0)),O20&amp;" ","")&amp;IF(NOT(OR(P20="",COUNTIF($F$2:$F$46,P20)=0,COUNTIFS($F$2:$F$46,P20,$Q$2:$Q$46,"Aprobada")&gt;0)),P20&amp;" ","")),IF(Q20="Cursada aprobada",TRIM(IF(NOT(OR(L20="",COUNTIF($F$2:$F$46,L20)=0,COUNTIFS($F$2:$F$46,L20,$Q$2:$Q$46,"Aprobada")&gt;0,AND(Resumen!$B$15="La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","")),""))</f>
        <v/>
      </c>
    </row>
    <row r="21" customFormat="false" ht="15" hidden="false" customHeight="false" outlineLevel="0" collapsed="false">
      <c r="A21" s="8" t="s">
        <v>83</v>
      </c>
      <c r="B21" s="8"/>
      <c r="C21" s="9" t="n">
        <v>3</v>
      </c>
      <c r="D21" s="9" t="n">
        <v>2</v>
      </c>
      <c r="E21" s="9" t="s">
        <v>99</v>
      </c>
      <c r="F21" s="9" t="n">
        <v>499</v>
      </c>
      <c r="G21" s="8" t="s">
        <v>100</v>
      </c>
      <c r="H21" s="9" t="s">
        <v>92</v>
      </c>
      <c r="I21" s="9" t="n">
        <v>2</v>
      </c>
      <c r="J21" s="9"/>
      <c r="K21" s="9" t="n">
        <v>32</v>
      </c>
      <c r="L21" s="9"/>
      <c r="M21" s="9"/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cursada",IF(AND(OR(L21="",COUNTIF($F$2:$F$46,L21)=0,COUNTIFS($F$2:$F$46,L21,$Q$2:$Q$46,"Aprobada")&gt;0,AND(Resumen!$B$15="La cursada aprobada",COUNTIFS($F$2:$F$46,L21,$Q$2:$Q$46,"Cursada aprobada")&gt;0)),OR(M21="",COUNTIF($F$2:$F$46,M21)=0,COUNTIFS($F$2:$F$46,M21,$Q$2:$Q$46,"Aprobada")&gt;0,AND(Resumen!$B$15="La cursada aprobada",COUNTIFS($F$2:$F$46,M21,$Q$2:$Q$46,"Cursada aprobada")&gt;0)),OR(N21="",COUNTIF($F$2:$F$46,N21)=0,COUNTIFS($F$2:$F$46,N21,$Q$2:$Q$46,"Aprobada")&gt;0,AND(Resumen!$B$15="La cursada aprobada",COUNTIFS($F$2:$F$46,N21,$Q$2:$Q$46,"Cursada aprobada")&gt;0)),OR(O21="",COUNTIF($F$2:$F$46,O21)=0,COUNTIFS($F$2:$F$46,O21,$Q$2:$Q$46,"Aprobada")&gt;0,AND(Resumen!$B$15="La cursada aprobada",COUNTIFS($F$2:$F$46,O21,$Q$2:$Q$46,"Cursada aprobada")&gt;0)),OR(P21="",COUNTIF($F$2:$F$46,P21)=0,COUNTIFS($F$2:$F$46,P21,$Q$2:$Q$46,"Aprobada")&gt;0,AND(Resumen!$B$15="La cursada aprobada",COUNTIFS($F$2:$F$46,P21,$Q$2:$Q$46,"Cursada aprobada")&gt;0))),"Sí","No")))</f>
        <v>Sí</v>
      </c>
      <c r="S21" s="8" t="str">
        <f aca="false">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</f>
        <v/>
      </c>
      <c r="T21" s="9" t="str">
        <f aca="false">IF(Q21="Cursada aprobada",IF(AND(OR(L21="",COUNTIF($F$2:$F$46,L21)=0,COUNTIFS($F$2:$F$46,L21,$Q$2:$Q$46,"Aprobada")&gt;0),OR(M21="",COUNTIF($F$2:$F$46,M21)=0,COUNTIFS($F$2:$F$46,M21,$Q$2:$Q$46,"Aprobada")&gt;0),OR(N21="",COUNTIF($F$2:$F$46,N21)=0,COUNTIFS($F$2:$F$46,N21,$Q$2:$Q$46,"Aprobada")&gt;0),OR(O21="",COUNTIF($F$2:$F$46,O21)=0,COUNTIFS($F$2:$F$46,O21,$Q$2:$Q$46,"Aprobada")&gt;0),OR(P21="",COUNTIF($F$2:$F$46,P21)=0,COUNTIFS($F$2:$F$46,P21,$Q$2:$Q$46,"Aprobada")&gt;0)),"Sí","No"),"")</f>
        <v/>
      </c>
      <c r="U21" s="9" t="str">
        <f aca="false">IF(Q21="Aprobada",TRIM(IF(NOT(OR(L21="",COUNTIF($F$2:$F$46,L21)=0,COUNTIFS($F$2:$F$46,L21,$Q$2:$Q$46,"Aprobada")&gt;0)),L21&amp;" ","")&amp;IF(NOT(OR(M21="",COUNTIF($F$2:$F$46,M21)=0,COUNTIFS($F$2:$F$46,M21,$Q$2:$Q$46,"Aprobada")&gt;0)),M21&amp;" ","")&amp;IF(NOT(OR(N21="",COUNTIF($F$2:$F$46,N21)=0,COUNTIFS($F$2:$F$46,N21,$Q$2:$Q$46,"Aprobada")&gt;0)),N21&amp;" ","")&amp;IF(NOT(OR(O21="",COUNTIF($F$2:$F$46,O21)=0,COUNTIFS($F$2:$F$46,O21,$Q$2:$Q$46,"Aprobada")&gt;0)),O21&amp;" ","")&amp;IF(NOT(OR(P21="",COUNTIF($F$2:$F$46,P21)=0,COUNTIFS($F$2:$F$46,P21,$Q$2:$Q$46,"Aprobada")&gt;0)),P21&amp;" ","")),IF(Q21="Cursada aprobada",TRIM(IF(NOT(OR(L21="",COUNTIF($F$2:$F$46,L21)=0,COUNTIFS($F$2:$F$46,L21,$Q$2:$Q$46,"Aprobada")&gt;0,AND(Resumen!$B$15="La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","")),""))</f>
        <v/>
      </c>
    </row>
    <row r="22" customFormat="false" ht="15" hidden="false" customHeight="false" outlineLevel="0" collapsed="false">
      <c r="A22" s="8" t="s">
        <v>83</v>
      </c>
      <c r="B22" s="8"/>
      <c r="C22" s="9" t="n">
        <v>3</v>
      </c>
      <c r="D22" s="9" t="n">
        <v>2</v>
      </c>
      <c r="E22" s="9" t="s">
        <v>63</v>
      </c>
      <c r="F22" s="9" t="n">
        <v>333</v>
      </c>
      <c r="G22" s="8" t="s">
        <v>129</v>
      </c>
      <c r="H22" s="9" t="s">
        <v>61</v>
      </c>
      <c r="I22" s="9" t="n">
        <v>6</v>
      </c>
      <c r="J22" s="9"/>
      <c r="K22" s="9" t="n">
        <v>96</v>
      </c>
      <c r="L22" s="9" t="n">
        <v>226</v>
      </c>
      <c r="M22" s="9"/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cursada",IF(AND(OR(L22="",COUNTIF($F$2:$F$46,L22)=0,COUNTIFS($F$2:$F$46,L22,$Q$2:$Q$46,"Aprobada")&gt;0,AND(Resumen!$B$15="La cursada aprobada",COUNTIFS($F$2:$F$46,L22,$Q$2:$Q$46,"Cursada aprobada")&gt;0)),OR(M22="",COUNTIF($F$2:$F$46,M22)=0,COUNTIFS($F$2:$F$46,M22,$Q$2:$Q$46,"Aprobada")&gt;0,AND(Resumen!$B$15="La cursada aprobada",COUNTIFS($F$2:$F$46,M22,$Q$2:$Q$46,"Cursada aprobada")&gt;0)),OR(N22="",COUNTIF($F$2:$F$46,N22)=0,COUNTIFS($F$2:$F$46,N22,$Q$2:$Q$46,"Aprobada")&gt;0,AND(Resumen!$B$15="La cursada aprobada",COUNTIFS($F$2:$F$46,N22,$Q$2:$Q$46,"Cursada aprobada")&gt;0)),OR(O22="",COUNTIF($F$2:$F$46,O22)=0,COUNTIFS($F$2:$F$46,O22,$Q$2:$Q$46,"Aprobada")&gt;0,AND(Resumen!$B$15="La cursada aprobada",COUNTIFS($F$2:$F$46,O22,$Q$2:$Q$46,"Cursada aprobada")&gt;0)),OR(P22="",COUNTIF($F$2:$F$46,P22)=0,COUNTIFS($F$2:$F$46,P22,$Q$2:$Q$46,"Aprobada")&gt;0,AND(Resumen!$B$15="La cursada aprobada",COUNTIFS($F$2:$F$46,P22,$Q$2:$Q$46,"Cursada aprobada")&gt;0))),"Sí","No")))</f>
        <v>No</v>
      </c>
      <c r="S22" s="8" t="str">
        <f aca="false">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</f>
        <v>226</v>
      </c>
      <c r="T22" s="9" t="str">
        <f aca="false">IF(Q22="Cursada aprobada",IF(AND(OR(L22="",COUNTIF($F$2:$F$46,L22)=0,COUNTIFS($F$2:$F$46,L22,$Q$2:$Q$46,"Aprobada")&gt;0),OR(M22="",COUNTIF($F$2:$F$46,M22)=0,COUNTIFS($F$2:$F$46,M22,$Q$2:$Q$46,"Aprobada")&gt;0),OR(N22="",COUNTIF($F$2:$F$46,N22)=0,COUNTIFS($F$2:$F$46,N22,$Q$2:$Q$46,"Aprobada")&gt;0),OR(O22="",COUNTIF($F$2:$F$46,O22)=0,COUNTIFS($F$2:$F$46,O22,$Q$2:$Q$46,"Aprobada")&gt;0),OR(P22="",COUNTIF($F$2:$F$46,P22)=0,COUNTIFS($F$2:$F$46,P22,$Q$2:$Q$46,"Aprobada")&gt;0)),"Sí","No"),"")</f>
        <v/>
      </c>
      <c r="U22" s="9" t="str">
        <f aca="false">IF(Q22="Aprobada",TRIM(IF(NOT(OR(L22="",COUNTIF($F$2:$F$46,L22)=0,COUNTIFS($F$2:$F$46,L22,$Q$2:$Q$46,"Aprobada")&gt;0)),L22&amp;" ","")&amp;IF(NOT(OR(M22="",COUNTIF($F$2:$F$46,M22)=0,COUNTIFS($F$2:$F$46,M22,$Q$2:$Q$46,"Aprobada")&gt;0)),M22&amp;" ","")&amp;IF(NOT(OR(N22="",COUNTIF($F$2:$F$46,N22)=0,COUNTIFS($F$2:$F$46,N22,$Q$2:$Q$46,"Aprobada")&gt;0)),N22&amp;" ","")&amp;IF(NOT(OR(O22="",COUNTIF($F$2:$F$46,O22)=0,COUNTIFS($F$2:$F$46,O22,$Q$2:$Q$46,"Aprobada")&gt;0)),O22&amp;" ","")&amp;IF(NOT(OR(P22="",COUNTIF($F$2:$F$46,P22)=0,COUNTIFS($F$2:$F$46,P22,$Q$2:$Q$46,"Aprobada")&gt;0)),P22&amp;" ","")),IF(Q22="Cursada aprobada",TRIM(IF(NOT(OR(L22="",COUNTIF($F$2:$F$46,L22)=0,COUNTIFS($F$2:$F$46,L22,$Q$2:$Q$46,"Aprobada")&gt;0,AND(Resumen!$B$15="La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","")),""))</f>
        <v/>
      </c>
    </row>
    <row r="23" customFormat="false" ht="15" hidden="false" customHeight="false" outlineLevel="0" collapsed="false">
      <c r="A23" s="8" t="s">
        <v>83</v>
      </c>
      <c r="B23" s="8"/>
      <c r="C23" s="9" t="n">
        <v>3</v>
      </c>
      <c r="D23" s="9" t="n">
        <v>2</v>
      </c>
      <c r="E23" s="9" t="s">
        <v>67</v>
      </c>
      <c r="F23" s="9" t="n">
        <v>348</v>
      </c>
      <c r="G23" s="8" t="s">
        <v>130</v>
      </c>
      <c r="H23" s="9" t="s">
        <v>61</v>
      </c>
      <c r="I23" s="9" t="n">
        <v>4</v>
      </c>
      <c r="J23" s="9"/>
      <c r="K23" s="9" t="n">
        <v>64</v>
      </c>
      <c r="L23" s="9" t="n">
        <v>202</v>
      </c>
      <c r="M23" s="9" t="n">
        <v>314</v>
      </c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cursada",IF(AND(OR(L23="",COUNTIF($F$2:$F$46,L23)=0,COUNTIFS($F$2:$F$46,L23,$Q$2:$Q$46,"Aprobada")&gt;0,AND(Resumen!$B$15="La cursada aprobada",COUNTIFS($F$2:$F$46,L23,$Q$2:$Q$46,"Cursada aprobada")&gt;0)),OR(M23="",COUNTIF($F$2:$F$46,M23)=0,COUNTIFS($F$2:$F$46,M23,$Q$2:$Q$46,"Aprobada")&gt;0,AND(Resumen!$B$15="La cursada aprobada",COUNTIFS($F$2:$F$46,M23,$Q$2:$Q$46,"Cursada aprobada")&gt;0)),OR(N23="",COUNTIF($F$2:$F$46,N23)=0,COUNTIFS($F$2:$F$46,N23,$Q$2:$Q$46,"Aprobada")&gt;0,AND(Resumen!$B$15="La cursada aprobada",COUNTIFS($F$2:$F$46,N23,$Q$2:$Q$46,"Cursada aprobada")&gt;0)),OR(O23="",COUNTIF($F$2:$F$46,O23)=0,COUNTIFS($F$2:$F$46,O23,$Q$2:$Q$46,"Aprobada")&gt;0,AND(Resumen!$B$15="La cursada aprobada",COUNTIFS($F$2:$F$46,O23,$Q$2:$Q$46,"Cursada aprobada")&gt;0)),OR(P23="",COUNTIF($F$2:$F$46,P23)=0,COUNTIFS($F$2:$F$46,P23,$Q$2:$Q$46,"Aprobada")&gt;0,AND(Resumen!$B$15="La cursada aprobada",COUNTIFS($F$2:$F$46,P23,$Q$2:$Q$46,"Cursada aprobada")&gt;0))),"Sí","No")))</f>
        <v>No</v>
      </c>
      <c r="S23" s="8" t="str">
        <f aca="false">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</f>
        <v>202 314</v>
      </c>
      <c r="T23" s="9" t="str">
        <f aca="false">IF(Q23="Cursada aprobada",IF(AND(OR(L23="",COUNTIF($F$2:$F$46,L23)=0,COUNTIFS($F$2:$F$46,L23,$Q$2:$Q$46,"Aprobada")&gt;0),OR(M23="",COUNTIF($F$2:$F$46,M23)=0,COUNTIFS($F$2:$F$46,M23,$Q$2:$Q$46,"Aprobada")&gt;0),OR(N23="",COUNTIF($F$2:$F$46,N23)=0,COUNTIFS($F$2:$F$46,N23,$Q$2:$Q$46,"Aprobada")&gt;0),OR(O23="",COUNTIF($F$2:$F$46,O23)=0,COUNTIFS($F$2:$F$46,O23,$Q$2:$Q$46,"Aprobada")&gt;0),OR(P23="",COUNTIF($F$2:$F$46,P23)=0,COUNTIFS($F$2:$F$46,P23,$Q$2:$Q$46,"Aprobada")&gt;0)),"Sí","No"),"")</f>
        <v/>
      </c>
      <c r="U23" s="9" t="str">
        <f aca="false">IF(Q23="Aprobada",TRIM(IF(NOT(OR(L23="",COUNTIF($F$2:$F$46,L23)=0,COUNTIFS($F$2:$F$46,L23,$Q$2:$Q$46,"Aprobada")&gt;0)),L23&amp;" ","")&amp;IF(NOT(OR(M23="",COUNTIF($F$2:$F$46,M23)=0,COUNTIFS($F$2:$F$46,M23,$Q$2:$Q$46,"Aprobada")&gt;0)),M23&amp;" ","")&amp;IF(NOT(OR(N23="",COUNTIF($F$2:$F$46,N23)=0,COUNTIFS($F$2:$F$46,N23,$Q$2:$Q$46,"Aprobada")&gt;0)),N23&amp;" ","")&amp;IF(NOT(OR(O23="",COUNTIF($F$2:$F$46,O23)=0,COUNTIFS($F$2:$F$46,O23,$Q$2:$Q$46,"Aprobada")&gt;0)),O23&amp;" ","")&amp;IF(NOT(OR(P23="",COUNTIF($F$2:$F$46,P23)=0,COUNTIFS($F$2:$F$46,P23,$Q$2:$Q$46,"Aprobada")&gt;0)),P23&amp;" ","")),IF(Q23="Cursada aprobada",TRIM(IF(NOT(OR(L23="",COUNTIF($F$2:$F$46,L23)=0,COUNTIFS($F$2:$F$46,L23,$Q$2:$Q$46,"Aprobada")&gt;0,AND(Resumen!$B$15="La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","")),""))</f>
        <v/>
      </c>
    </row>
    <row r="24" customFormat="false" ht="15" hidden="false" customHeight="false" outlineLevel="0" collapsed="false">
      <c r="A24" s="8" t="s">
        <v>83</v>
      </c>
      <c r="B24" s="8"/>
      <c r="C24" s="9" t="n">
        <v>3</v>
      </c>
      <c r="D24" s="9" t="n">
        <v>2</v>
      </c>
      <c r="E24" s="9" t="s">
        <v>63</v>
      </c>
      <c r="F24" s="9" t="n">
        <v>381</v>
      </c>
      <c r="G24" s="8" t="s">
        <v>131</v>
      </c>
      <c r="H24" s="9" t="s">
        <v>61</v>
      </c>
      <c r="I24" s="9" t="n">
        <v>4</v>
      </c>
      <c r="J24" s="9"/>
      <c r="K24" s="9" t="n">
        <v>64</v>
      </c>
      <c r="L24" s="9" t="n">
        <v>308</v>
      </c>
      <c r="M24" s="9" t="n">
        <v>250</v>
      </c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cursada",IF(AND(OR(L24="",COUNTIF($F$2:$F$46,L24)=0,COUNTIFS($F$2:$F$46,L24,$Q$2:$Q$46,"Aprobada")&gt;0,AND(Resumen!$B$15="La cursada aprobada",COUNTIFS($F$2:$F$46,L24,$Q$2:$Q$46,"Cursada aprobada")&gt;0)),OR(M24="",COUNTIF($F$2:$F$46,M24)=0,COUNTIFS($F$2:$F$46,M24,$Q$2:$Q$46,"Aprobada")&gt;0,AND(Resumen!$B$15="La cursada aprobada",COUNTIFS($F$2:$F$46,M24,$Q$2:$Q$46,"Cursada aprobada")&gt;0)),OR(N24="",COUNTIF($F$2:$F$46,N24)=0,COUNTIFS($F$2:$F$46,N24,$Q$2:$Q$46,"Aprobada")&gt;0,AND(Resumen!$B$15="La cursada aprobada",COUNTIFS($F$2:$F$46,N24,$Q$2:$Q$46,"Cursada aprobada")&gt;0)),OR(O24="",COUNTIF($F$2:$F$46,O24)=0,COUNTIFS($F$2:$F$46,O24,$Q$2:$Q$46,"Aprobada")&gt;0,AND(Resumen!$B$15="La cursada aprobada",COUNTIFS($F$2:$F$46,O24,$Q$2:$Q$46,"Cursada aprobada")&gt;0)),OR(P24="",COUNTIF($F$2:$F$46,P24)=0,COUNTIFS($F$2:$F$46,P24,$Q$2:$Q$46,"Aprobada")&gt;0,AND(Resumen!$B$15="La cursada aprobada",COUNTIFS($F$2:$F$46,P24,$Q$2:$Q$46,"Cursada aprobada")&gt;0))),"Sí","No")))</f>
        <v>No</v>
      </c>
      <c r="S24" s="8" t="str">
        <f aca="false">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</f>
        <v>308 250</v>
      </c>
      <c r="T24" s="9" t="str">
        <f aca="false">IF(Q24="Cursada aprobada",IF(AND(OR(L24="",COUNTIF($F$2:$F$46,L24)=0,COUNTIFS($F$2:$F$46,L24,$Q$2:$Q$46,"Aprobada")&gt;0),OR(M24="",COUNTIF($F$2:$F$46,M24)=0,COUNTIFS($F$2:$F$46,M24,$Q$2:$Q$46,"Aprobada")&gt;0),OR(N24="",COUNTIF($F$2:$F$46,N24)=0,COUNTIFS($F$2:$F$46,N24,$Q$2:$Q$46,"Aprobada")&gt;0),OR(O24="",COUNTIF($F$2:$F$46,O24)=0,COUNTIFS($F$2:$F$46,O24,$Q$2:$Q$46,"Aprobada")&gt;0),OR(P24="",COUNTIF($F$2:$F$46,P24)=0,COUNTIFS($F$2:$F$46,P24,$Q$2:$Q$46,"Aprobada")&gt;0)),"Sí","No"),"")</f>
        <v/>
      </c>
      <c r="U24" s="9" t="str">
        <f aca="false">IF(Q24="Aprobada",TRIM(IF(NOT(OR(L24="",COUNTIF($F$2:$F$46,L24)=0,COUNTIFS($F$2:$F$46,L24,$Q$2:$Q$46,"Aprobada")&gt;0)),L24&amp;" ","")&amp;IF(NOT(OR(M24="",COUNTIF($F$2:$F$46,M24)=0,COUNTIFS($F$2:$F$46,M24,$Q$2:$Q$46,"Aprobada")&gt;0)),M24&amp;" ","")&amp;IF(NOT(OR(N24="",COUNTIF($F$2:$F$46,N24)=0,COUNTIFS($F$2:$F$46,N24,$Q$2:$Q$46,"Aprobada")&gt;0)),N24&amp;" ","")&amp;IF(NOT(OR(O24="",COUNTIF($F$2:$F$46,O24)=0,COUNTIFS($F$2:$F$46,O24,$Q$2:$Q$46,"Aprobada")&gt;0)),O24&amp;" ","")&amp;IF(NOT(OR(P24="",COUNTIF($F$2:$F$46,P24)=0,COUNTIFS($F$2:$F$46,P24,$Q$2:$Q$46,"Aprobada")&gt;0)),P24&amp;" ","")),IF(Q24="Cursada aprobada",TRIM(IF(NOT(OR(L24="",COUNTIF($F$2:$F$46,L24)=0,COUNTIFS($F$2:$F$46,L24,$Q$2:$Q$46,"Aprobada")&gt;0,AND(Resumen!$B$15="La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","")),""))</f>
        <v/>
      </c>
    </row>
    <row r="25" customFormat="false" ht="15" hidden="false" customHeight="false" outlineLevel="0" collapsed="false">
      <c r="A25" s="8" t="s">
        <v>83</v>
      </c>
      <c r="B25" s="8"/>
      <c r="C25" s="9" t="n">
        <v>4</v>
      </c>
      <c r="D25" s="9" t="n">
        <v>1</v>
      </c>
      <c r="E25" s="9" t="s">
        <v>77</v>
      </c>
      <c r="F25" s="9" t="n">
        <v>244</v>
      </c>
      <c r="G25" s="8" t="s">
        <v>132</v>
      </c>
      <c r="H25" s="9" t="s">
        <v>71</v>
      </c>
      <c r="I25" s="9" t="n">
        <v>6</v>
      </c>
      <c r="J25" s="9"/>
      <c r="K25" s="9" t="n">
        <v>96</v>
      </c>
      <c r="L25" s="9" t="n">
        <v>202</v>
      </c>
      <c r="M25" s="9" t="n">
        <v>307</v>
      </c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cursada",IF(AND(OR(L25="",COUNTIF($F$2:$F$46,L25)=0,COUNTIFS($F$2:$F$46,L25,$Q$2:$Q$46,"Aprobada")&gt;0,AND(Resumen!$B$15="La cursada aprobada",COUNTIFS($F$2:$F$46,L25,$Q$2:$Q$46,"Cursada aprobada")&gt;0)),OR(M25="",COUNTIF($F$2:$F$46,M25)=0,COUNTIFS($F$2:$F$46,M25,$Q$2:$Q$46,"Aprobada")&gt;0,AND(Resumen!$B$15="La cursada aprobada",COUNTIFS($F$2:$F$46,M25,$Q$2:$Q$46,"Cursada aprobada")&gt;0)),OR(N25="",COUNTIF($F$2:$F$46,N25)=0,COUNTIFS($F$2:$F$46,N25,$Q$2:$Q$46,"Aprobada")&gt;0,AND(Resumen!$B$15="La cursada aprobada",COUNTIFS($F$2:$F$46,N25,$Q$2:$Q$46,"Cursada aprobada")&gt;0)),OR(O25="",COUNTIF($F$2:$F$46,O25)=0,COUNTIFS($F$2:$F$46,O25,$Q$2:$Q$46,"Aprobada")&gt;0,AND(Resumen!$B$15="La cursada aprobada",COUNTIFS($F$2:$F$46,O25,$Q$2:$Q$46,"Cursada aprobada")&gt;0)),OR(P25="",COUNTIF($F$2:$F$46,P25)=0,COUNTIFS($F$2:$F$46,P25,$Q$2:$Q$46,"Aprobada")&gt;0,AND(Resumen!$B$15="La cursada aprobada",COUNTIFS($F$2:$F$46,P25,$Q$2:$Q$46,"Cursada aprobada")&gt;0))),"Sí","No")))</f>
        <v>No</v>
      </c>
      <c r="S25" s="8" t="str">
        <f aca="false">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</f>
        <v>202 307</v>
      </c>
      <c r="T25" s="9" t="str">
        <f aca="false">IF(Q25="Cursada aprobada",IF(AND(OR(L25="",COUNTIF($F$2:$F$46,L25)=0,COUNTIFS($F$2:$F$46,L25,$Q$2:$Q$46,"Aprobada")&gt;0),OR(M25="",COUNTIF($F$2:$F$46,M25)=0,COUNTIFS($F$2:$F$46,M25,$Q$2:$Q$46,"Aprobada")&gt;0),OR(N25="",COUNTIF($F$2:$F$46,N25)=0,COUNTIFS($F$2:$F$46,N25,$Q$2:$Q$46,"Aprobada")&gt;0),OR(O25="",COUNTIF($F$2:$F$46,O25)=0,COUNTIFS($F$2:$F$46,O25,$Q$2:$Q$46,"Aprobada")&gt;0),OR(P25="",COUNTIF($F$2:$F$46,P25)=0,COUNTIFS($F$2:$F$46,P25,$Q$2:$Q$46,"Aprobada")&gt;0)),"Sí","No"),"")</f>
        <v/>
      </c>
      <c r="U25" s="9" t="str">
        <f aca="false">IF(Q25="Aprobada",TRIM(IF(NOT(OR(L25="",COUNTIF($F$2:$F$46,L25)=0,COUNTIFS($F$2:$F$46,L25,$Q$2:$Q$46,"Aprobada")&gt;0)),L25&amp;" ","")&amp;IF(NOT(OR(M25="",COUNTIF($F$2:$F$46,M25)=0,COUNTIFS($F$2:$F$46,M25,$Q$2:$Q$46,"Aprobada")&gt;0)),M25&amp;" ","")&amp;IF(NOT(OR(N25="",COUNTIF($F$2:$F$46,N25)=0,COUNTIFS($F$2:$F$46,N25,$Q$2:$Q$46,"Aprobada")&gt;0)),N25&amp;" ","")&amp;IF(NOT(OR(O25="",COUNTIF($F$2:$F$46,O25)=0,COUNTIFS($F$2:$F$46,O25,$Q$2:$Q$46,"Aprobada")&gt;0)),O25&amp;" ","")&amp;IF(NOT(OR(P25="",COUNTIF($F$2:$F$46,P25)=0,COUNTIFS($F$2:$F$46,P25,$Q$2:$Q$46,"Aprobada")&gt;0)),P25&amp;" ","")),IF(Q25="Cursada aprobada",TRIM(IF(NOT(OR(L25="",COUNTIF($F$2:$F$46,L25)=0,COUNTIFS($F$2:$F$46,L25,$Q$2:$Q$46,"Aprobada")&gt;0,AND(Resumen!$B$15="La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","")),""))</f>
        <v/>
      </c>
    </row>
    <row r="26" customFormat="false" ht="15" hidden="false" customHeight="false" outlineLevel="0" collapsed="false">
      <c r="A26" s="8" t="s">
        <v>83</v>
      </c>
      <c r="B26" s="8"/>
      <c r="C26" s="9" t="n">
        <v>4</v>
      </c>
      <c r="D26" s="9" t="n">
        <v>1</v>
      </c>
      <c r="E26" s="9" t="s">
        <v>63</v>
      </c>
      <c r="F26" s="9" t="n">
        <v>435</v>
      </c>
      <c r="G26" s="8" t="s">
        <v>133</v>
      </c>
      <c r="H26" s="9" t="s">
        <v>61</v>
      </c>
      <c r="I26" s="9" t="n">
        <v>4</v>
      </c>
      <c r="J26" s="9"/>
      <c r="K26" s="9" t="n">
        <v>64</v>
      </c>
      <c r="L26" s="9" t="n">
        <v>330</v>
      </c>
      <c r="M26" s="9" t="n">
        <v>424</v>
      </c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cursada",IF(AND(OR(L26="",COUNTIF($F$2:$F$46,L26)=0,COUNTIFS($F$2:$F$46,L26,$Q$2:$Q$46,"Aprobada")&gt;0,AND(Resumen!$B$15="La cursada aprobada",COUNTIFS($F$2:$F$46,L26,$Q$2:$Q$46,"Cursada aprobada")&gt;0)),OR(M26="",COUNTIF($F$2:$F$46,M26)=0,COUNTIFS($F$2:$F$46,M26,$Q$2:$Q$46,"Aprobada")&gt;0,AND(Resumen!$B$15="La cursada aprobada",COUNTIFS($F$2:$F$46,M26,$Q$2:$Q$46,"Cursada aprobada")&gt;0)),OR(N26="",COUNTIF($F$2:$F$46,N26)=0,COUNTIFS($F$2:$F$46,N26,$Q$2:$Q$46,"Aprobada")&gt;0,AND(Resumen!$B$15="La cursada aprobada",COUNTIFS($F$2:$F$46,N26,$Q$2:$Q$46,"Cursada aprobada")&gt;0)),OR(O26="",COUNTIF($F$2:$F$46,O26)=0,COUNTIFS($F$2:$F$46,O26,$Q$2:$Q$46,"Aprobada")&gt;0,AND(Resumen!$B$15="La cursada aprobada",COUNTIFS($F$2:$F$46,O26,$Q$2:$Q$46,"Cursada aprobada")&gt;0)),OR(P26="",COUNTIF($F$2:$F$46,P26)=0,COUNTIFS($F$2:$F$46,P26,$Q$2:$Q$46,"Aprobada")&gt;0,AND(Resumen!$B$15="La cursada aprobada",COUNTIFS($F$2:$F$46,P26,$Q$2:$Q$46,"Cursada aprobada")&gt;0))),"Sí","No")))</f>
        <v>No</v>
      </c>
      <c r="S26" s="8" t="str">
        <f aca="false">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</f>
        <v>330 424</v>
      </c>
      <c r="T26" s="9" t="str">
        <f aca="false">IF(Q26="Cursada aprobada",IF(AND(OR(L26="",COUNTIF($F$2:$F$46,L26)=0,COUNTIFS($F$2:$F$46,L26,$Q$2:$Q$46,"Aprobada")&gt;0),OR(M26="",COUNTIF($F$2:$F$46,M26)=0,COUNTIFS($F$2:$F$46,M26,$Q$2:$Q$46,"Aprobada")&gt;0),OR(N26="",COUNTIF($F$2:$F$46,N26)=0,COUNTIFS($F$2:$F$46,N26,$Q$2:$Q$46,"Aprobada")&gt;0),OR(O26="",COUNTIF($F$2:$F$46,O26)=0,COUNTIFS($F$2:$F$46,O26,$Q$2:$Q$46,"Aprobada")&gt;0),OR(P26="",COUNTIF($F$2:$F$46,P26)=0,COUNTIFS($F$2:$F$46,P26,$Q$2:$Q$46,"Aprobada")&gt;0)),"Sí","No"),"")</f>
        <v/>
      </c>
      <c r="U26" s="9" t="str">
        <f aca="false">IF(Q26="Aprobada",TRIM(IF(NOT(OR(L26="",COUNTIF($F$2:$F$46,L26)=0,COUNTIFS($F$2:$F$46,L26,$Q$2:$Q$46,"Aprobada")&gt;0)),L26&amp;" ","")&amp;IF(NOT(OR(M26="",COUNTIF($F$2:$F$46,M26)=0,COUNTIFS($F$2:$F$46,M26,$Q$2:$Q$46,"Aprobada")&gt;0)),M26&amp;" ","")&amp;IF(NOT(OR(N26="",COUNTIF($F$2:$F$46,N26)=0,COUNTIFS($F$2:$F$46,N26,$Q$2:$Q$46,"Aprobada")&gt;0)),N26&amp;" ","")&amp;IF(NOT(OR(O26="",COUNTIF($F$2:$F$46,O26)=0,COUNTIFS($F$2:$F$46,O26,$Q$2:$Q$46,"Aprobada")&gt;0)),O26&amp;" ","")&amp;IF(NOT(OR(P26="",COUNTIF($F$2:$F$46,P26)=0,COUNTIFS($F$2:$F$46,P26,$Q$2:$Q$46,"Aprobada")&gt;0)),P26&amp;" ","")),IF(Q26="Cursada aprobada",TRIM(IF(NOT(OR(L26="",COUNTIF($F$2:$F$46,L26)=0,COUNTIFS($F$2:$F$46,L26,$Q$2:$Q$46,"Aprobada")&gt;0,AND(Resumen!$B$15="La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","")),""))</f>
        <v/>
      </c>
    </row>
    <row r="27" customFormat="false" ht="15" hidden="false" customHeight="false" outlineLevel="0" collapsed="false">
      <c r="A27" s="8" t="s">
        <v>83</v>
      </c>
      <c r="B27" s="8"/>
      <c r="C27" s="9" t="n">
        <v>4</v>
      </c>
      <c r="D27" s="9" t="n">
        <v>1</v>
      </c>
      <c r="E27" s="9" t="s">
        <v>67</v>
      </c>
      <c r="F27" s="9" t="n">
        <v>470</v>
      </c>
      <c r="G27" s="8" t="s">
        <v>134</v>
      </c>
      <c r="H27" s="9" t="s">
        <v>71</v>
      </c>
      <c r="I27" s="9" t="n">
        <v>4</v>
      </c>
      <c r="J27" s="9"/>
      <c r="K27" s="9" t="n">
        <v>64</v>
      </c>
      <c r="L27" s="9" t="n">
        <v>348</v>
      </c>
      <c r="M27" s="9"/>
      <c r="N27" s="9"/>
      <c r="O27" s="9"/>
      <c r="P27" s="9"/>
      <c r="Q27" s="10" t="s">
        <v>62</v>
      </c>
      <c r="R27" s="9" t="str">
        <f aca="false">IF(Q27="Aprobada","Ya aprobada",IF(Q27="Cursada aprobada","Ya cursada",IF(AND(OR(L27="",COUNTIF($F$2:$F$46,L27)=0,COUNTIFS($F$2:$F$46,L27,$Q$2:$Q$46,"Aprobada")&gt;0,AND(Resumen!$B$15="La cursada aprobada",COUNTIFS($F$2:$F$46,L27,$Q$2:$Q$46,"Cursada aprobada")&gt;0)),OR(M27="",COUNTIF($F$2:$F$46,M27)=0,COUNTIFS($F$2:$F$46,M27,$Q$2:$Q$46,"Aprobada")&gt;0,AND(Resumen!$B$15="La cursada aprobada",COUNTIFS($F$2:$F$46,M27,$Q$2:$Q$46,"Cursada aprobada")&gt;0)),OR(N27="",COUNTIF($F$2:$F$46,N27)=0,COUNTIFS($F$2:$F$46,N27,$Q$2:$Q$46,"Aprobada")&gt;0,AND(Resumen!$B$15="La cursada aprobada",COUNTIFS($F$2:$F$46,N27,$Q$2:$Q$46,"Cursada aprobada")&gt;0)),OR(O27="",COUNTIF($F$2:$F$46,O27)=0,COUNTIFS($F$2:$F$46,O27,$Q$2:$Q$46,"Aprobada")&gt;0,AND(Resumen!$B$15="La cursada aprobada",COUNTIFS($F$2:$F$46,O27,$Q$2:$Q$46,"Cursada aprobada")&gt;0)),OR(P27="",COUNTIF($F$2:$F$46,P27)=0,COUNTIFS($F$2:$F$46,P27,$Q$2:$Q$46,"Aprobada")&gt;0,AND(Resumen!$B$15="La cursada aprobada",COUNTIFS($F$2:$F$46,P27,$Q$2:$Q$46,"Cursada aprobada")&gt;0))),"Sí","No")))</f>
        <v>No</v>
      </c>
      <c r="S27" s="8" t="str">
        <f aca="false">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</f>
        <v>348</v>
      </c>
      <c r="T27" s="9" t="str">
        <f aca="false">IF(Q27="Cursada aprobada",IF(AND(OR(L27="",COUNTIF($F$2:$F$46,L27)=0,COUNTIFS($F$2:$F$46,L27,$Q$2:$Q$46,"Aprobada")&gt;0),OR(M27="",COUNTIF($F$2:$F$46,M27)=0,COUNTIFS($F$2:$F$46,M27,$Q$2:$Q$46,"Aprobada")&gt;0),OR(N27="",COUNTIF($F$2:$F$46,N27)=0,COUNTIFS($F$2:$F$46,N27,$Q$2:$Q$46,"Aprobada")&gt;0),OR(O27="",COUNTIF($F$2:$F$46,O27)=0,COUNTIFS($F$2:$F$46,O27,$Q$2:$Q$46,"Aprobada")&gt;0),OR(P27="",COUNTIF($F$2:$F$46,P27)=0,COUNTIFS($F$2:$F$46,P27,$Q$2:$Q$46,"Aprobada")&gt;0)),"Sí","No"),"")</f>
        <v/>
      </c>
      <c r="U27" s="9" t="str">
        <f aca="false">IF(Q27="Aprobada",TRIM(IF(NOT(OR(L27="",COUNTIF($F$2:$F$46,L27)=0,COUNTIFS($F$2:$F$46,L27,$Q$2:$Q$46,"Aprobada")&gt;0)),L27&amp;" ","")&amp;IF(NOT(OR(M27="",COUNTIF($F$2:$F$46,M27)=0,COUNTIFS($F$2:$F$46,M27,$Q$2:$Q$46,"Aprobada")&gt;0)),M27&amp;" ","")&amp;IF(NOT(OR(N27="",COUNTIF($F$2:$F$46,N27)=0,COUNTIFS($F$2:$F$46,N27,$Q$2:$Q$46,"Aprobada")&gt;0)),N27&amp;" ","")&amp;IF(NOT(OR(O27="",COUNTIF($F$2:$F$46,O27)=0,COUNTIFS($F$2:$F$46,O27,$Q$2:$Q$46,"Aprobada")&gt;0)),O27&amp;" ","")&amp;IF(NOT(OR(P27="",COUNTIF($F$2:$F$46,P27)=0,COUNTIFS($F$2:$F$46,P27,$Q$2:$Q$46,"Aprobada")&gt;0)),P27&amp;" ","")),IF(Q27="Cursada aprobada",TRIM(IF(NOT(OR(L27="",COUNTIF($F$2:$F$46,L27)=0,COUNTIFS($F$2:$F$46,L27,$Q$2:$Q$46,"Aprobada")&gt;0,AND(Resumen!$B$15="La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","")),""))</f>
        <v/>
      </c>
    </row>
    <row r="28" customFormat="false" ht="15" hidden="false" customHeight="false" outlineLevel="0" collapsed="false">
      <c r="A28" s="8" t="s">
        <v>83</v>
      </c>
      <c r="B28" s="8"/>
      <c r="C28" s="9" t="n">
        <v>4</v>
      </c>
      <c r="D28" s="9" t="n">
        <v>2</v>
      </c>
      <c r="E28" s="9" t="s">
        <v>63</v>
      </c>
      <c r="F28" s="9" t="n">
        <v>441</v>
      </c>
      <c r="G28" s="8" t="s">
        <v>135</v>
      </c>
      <c r="H28" s="9" t="s">
        <v>61</v>
      </c>
      <c r="I28" s="9" t="n">
        <v>4</v>
      </c>
      <c r="J28" s="9"/>
      <c r="K28" s="9" t="n">
        <v>64</v>
      </c>
      <c r="L28" s="9" t="n">
        <v>333</v>
      </c>
      <c r="M28" s="9" t="n">
        <v>381</v>
      </c>
      <c r="N28" s="9"/>
      <c r="O28" s="9"/>
      <c r="P28" s="9"/>
      <c r="Q28" s="10" t="s">
        <v>62</v>
      </c>
      <c r="R28" s="9" t="str">
        <f aca="false">IF(Q28="Aprobada","Ya aprobada",IF(Q28="Cursada aprobada","Ya cursada",IF(AND(OR(L28="",COUNTIF($F$2:$F$46,L28)=0,COUNTIFS($F$2:$F$46,L28,$Q$2:$Q$46,"Aprobada")&gt;0,AND(Resumen!$B$15="La cursada aprobada",COUNTIFS($F$2:$F$46,L28,$Q$2:$Q$46,"Cursada aprobada")&gt;0)),OR(M28="",COUNTIF($F$2:$F$46,M28)=0,COUNTIFS($F$2:$F$46,M28,$Q$2:$Q$46,"Aprobada")&gt;0,AND(Resumen!$B$15="La cursada aprobada",COUNTIFS($F$2:$F$46,M28,$Q$2:$Q$46,"Cursada aprobada")&gt;0)),OR(N28="",COUNTIF($F$2:$F$46,N28)=0,COUNTIFS($F$2:$F$46,N28,$Q$2:$Q$46,"Aprobada")&gt;0,AND(Resumen!$B$15="La cursada aprobada",COUNTIFS($F$2:$F$46,N28,$Q$2:$Q$46,"Cursada aprobada")&gt;0)),OR(O28="",COUNTIF($F$2:$F$46,O28)=0,COUNTIFS($F$2:$F$46,O28,$Q$2:$Q$46,"Aprobada")&gt;0,AND(Resumen!$B$15="La cursada aprobada",COUNTIFS($F$2:$F$46,O28,$Q$2:$Q$46,"Cursada aprobada")&gt;0)),OR(P28="",COUNTIF($F$2:$F$46,P28)=0,COUNTIFS($F$2:$F$46,P28,$Q$2:$Q$46,"Aprobada")&gt;0,AND(Resumen!$B$15="La cursada aprobada",COUNTIFS($F$2:$F$46,P28,$Q$2:$Q$46,"Cursada aprobada")&gt;0))),"Sí","No")))</f>
        <v>No</v>
      </c>
      <c r="S28" s="8" t="str">
        <f aca="false">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</f>
        <v>333 381</v>
      </c>
      <c r="T28" s="9" t="str">
        <f aca="false">IF(Q28="Cursada aprobada",IF(AND(OR(L28="",COUNTIF($F$2:$F$46,L28)=0,COUNTIFS($F$2:$F$46,L28,$Q$2:$Q$46,"Aprobada")&gt;0),OR(M28="",COUNTIF($F$2:$F$46,M28)=0,COUNTIFS($F$2:$F$46,M28,$Q$2:$Q$46,"Aprobada")&gt;0),OR(N28="",COUNTIF($F$2:$F$46,N28)=0,COUNTIFS($F$2:$F$46,N28,$Q$2:$Q$46,"Aprobada")&gt;0),OR(O28="",COUNTIF($F$2:$F$46,O28)=0,COUNTIFS($F$2:$F$46,O28,$Q$2:$Q$46,"Aprobada")&gt;0),OR(P28="",COUNTIF($F$2:$F$46,P28)=0,COUNTIFS($F$2:$F$46,P28,$Q$2:$Q$46,"Aprobada")&gt;0)),"Sí","No"),"")</f>
        <v/>
      </c>
      <c r="U28" s="9" t="str">
        <f aca="false">IF(Q28="Aprobada",TRIM(IF(NOT(OR(L28="",COUNTIF($F$2:$F$46,L28)=0,COUNTIFS($F$2:$F$46,L28,$Q$2:$Q$46,"Aprobada")&gt;0)),L28&amp;" ","")&amp;IF(NOT(OR(M28="",COUNTIF($F$2:$F$46,M28)=0,COUNTIFS($F$2:$F$46,M28,$Q$2:$Q$46,"Aprobada")&gt;0)),M28&amp;" ","")&amp;IF(NOT(OR(N28="",COUNTIF($F$2:$F$46,N28)=0,COUNTIFS($F$2:$F$46,N28,$Q$2:$Q$46,"Aprobada")&gt;0)),N28&amp;" ","")&amp;IF(NOT(OR(O28="",COUNTIF($F$2:$F$46,O28)=0,COUNTIFS($F$2:$F$46,O28,$Q$2:$Q$46,"Aprobada")&gt;0)),O28&amp;" ","")&amp;IF(NOT(OR(P28="",COUNTIF($F$2:$F$46,P28)=0,COUNTIFS($F$2:$F$46,P28,$Q$2:$Q$46,"Aprobada")&gt;0)),P28&amp;" ","")),IF(Q28="Cursada aprobada",TRIM(IF(NOT(OR(L28="",COUNTIF($F$2:$F$46,L28)=0,COUNTIFS($F$2:$F$46,L28,$Q$2:$Q$46,"Aprobada")&gt;0,AND(Resumen!$B$15="La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","")),""))</f>
        <v/>
      </c>
    </row>
    <row r="29" customFormat="false" ht="15" hidden="false" customHeight="false" outlineLevel="0" collapsed="false">
      <c r="A29" s="8" t="s">
        <v>83</v>
      </c>
      <c r="B29" s="8"/>
      <c r="C29" s="9" t="n">
        <v>4</v>
      </c>
      <c r="D29" s="9" t="n">
        <v>2</v>
      </c>
      <c r="E29" s="9" t="s">
        <v>63</v>
      </c>
      <c r="F29" s="9" t="n">
        <v>437</v>
      </c>
      <c r="G29" s="8" t="s">
        <v>136</v>
      </c>
      <c r="H29" s="9" t="s">
        <v>61</v>
      </c>
      <c r="I29" s="9" t="n">
        <v>6</v>
      </c>
      <c r="J29" s="9"/>
      <c r="K29" s="9" t="n">
        <v>96</v>
      </c>
      <c r="L29" s="9" t="n">
        <v>250</v>
      </c>
      <c r="M29" s="9" t="n">
        <v>330</v>
      </c>
      <c r="N29" s="9" t="n">
        <v>333</v>
      </c>
      <c r="O29" s="9"/>
      <c r="P29" s="9"/>
      <c r="Q29" s="10" t="s">
        <v>62</v>
      </c>
      <c r="R29" s="9" t="str">
        <f aca="false">IF(Q29="Aprobada","Ya aprobada",IF(Q29="Cursada aprobada","Ya cursada",IF(AND(OR(L29="",COUNTIF($F$2:$F$46,L29)=0,COUNTIFS($F$2:$F$46,L29,$Q$2:$Q$46,"Aprobada")&gt;0,AND(Resumen!$B$15="La cursada aprobada",COUNTIFS($F$2:$F$46,L29,$Q$2:$Q$46,"Cursada aprobada")&gt;0)),OR(M29="",COUNTIF($F$2:$F$46,M29)=0,COUNTIFS($F$2:$F$46,M29,$Q$2:$Q$46,"Aprobada")&gt;0,AND(Resumen!$B$15="La cursada aprobada",COUNTIFS($F$2:$F$46,M29,$Q$2:$Q$46,"Cursada aprobada")&gt;0)),OR(N29="",COUNTIF($F$2:$F$46,N29)=0,COUNTIFS($F$2:$F$46,N29,$Q$2:$Q$46,"Aprobada")&gt;0,AND(Resumen!$B$15="La cursada aprobada",COUNTIFS($F$2:$F$46,N29,$Q$2:$Q$46,"Cursada aprobada")&gt;0)),OR(O29="",COUNTIF($F$2:$F$46,O29)=0,COUNTIFS($F$2:$F$46,O29,$Q$2:$Q$46,"Aprobada")&gt;0,AND(Resumen!$B$15="La cursada aprobada",COUNTIFS($F$2:$F$46,O29,$Q$2:$Q$46,"Cursada aprobada")&gt;0)),OR(P29="",COUNTIF($F$2:$F$46,P29)=0,COUNTIFS($F$2:$F$46,P29,$Q$2:$Q$46,"Aprobada")&gt;0,AND(Resumen!$B$15="La cursada aprobada",COUNTIFS($F$2:$F$46,P29,$Q$2:$Q$46,"Cursada aprobada")&gt;0))),"Sí","No")))</f>
        <v>No</v>
      </c>
      <c r="S29" s="8" t="str">
        <f aca="false">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</f>
        <v>250 330 333</v>
      </c>
      <c r="T29" s="9" t="str">
        <f aca="false">IF(Q29="Cursada aprobada",IF(AND(OR(L29="",COUNTIF($F$2:$F$46,L29)=0,COUNTIFS($F$2:$F$46,L29,$Q$2:$Q$46,"Aprobada")&gt;0),OR(M29="",COUNTIF($F$2:$F$46,M29)=0,COUNTIFS($F$2:$F$46,M29,$Q$2:$Q$46,"Aprobada")&gt;0),OR(N29="",COUNTIF($F$2:$F$46,N29)=0,COUNTIFS($F$2:$F$46,N29,$Q$2:$Q$46,"Aprobada")&gt;0),OR(O29="",COUNTIF($F$2:$F$46,O29)=0,COUNTIFS($F$2:$F$46,O29,$Q$2:$Q$46,"Aprobada")&gt;0),OR(P29="",COUNTIF($F$2:$F$46,P29)=0,COUNTIFS($F$2:$F$46,P29,$Q$2:$Q$46,"Aprobada")&gt;0)),"Sí","No"),"")</f>
        <v/>
      </c>
      <c r="U29" s="9" t="str">
        <f aca="false">IF(Q29="Aprobada",TRIM(IF(NOT(OR(L29="",COUNTIF($F$2:$F$46,L29)=0,COUNTIFS($F$2:$F$46,L29,$Q$2:$Q$46,"Aprobada")&gt;0)),L29&amp;" ","")&amp;IF(NOT(OR(M29="",COUNTIF($F$2:$F$46,M29)=0,COUNTIFS($F$2:$F$46,M29,$Q$2:$Q$46,"Aprobada")&gt;0)),M29&amp;" ","")&amp;IF(NOT(OR(N29="",COUNTIF($F$2:$F$46,N29)=0,COUNTIFS($F$2:$F$46,N29,$Q$2:$Q$46,"Aprobada")&gt;0)),N29&amp;" ","")&amp;IF(NOT(OR(O29="",COUNTIF($F$2:$F$46,O29)=0,COUNTIFS($F$2:$F$46,O29,$Q$2:$Q$46,"Aprobada")&gt;0)),O29&amp;" ","")&amp;IF(NOT(OR(P29="",COUNTIF($F$2:$F$46,P29)=0,COUNTIFS($F$2:$F$46,P29,$Q$2:$Q$46,"Aprobada")&gt;0)),P29&amp;" ","")),IF(Q29="Cursada aprobada",TRIM(IF(NOT(OR(L29="",COUNTIF($F$2:$F$46,L29)=0,COUNTIFS($F$2:$F$46,L29,$Q$2:$Q$46,"Aprobada")&gt;0,AND(Resumen!$B$15="La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","")),""))</f>
        <v/>
      </c>
    </row>
    <row r="30" customFormat="false" ht="15" hidden="false" customHeight="false" outlineLevel="0" collapsed="false">
      <c r="A30" s="8" t="s">
        <v>83</v>
      </c>
      <c r="B30" s="8"/>
      <c r="C30" s="9" t="n">
        <v>4</v>
      </c>
      <c r="D30" s="9" t="n">
        <v>2</v>
      </c>
      <c r="E30" s="9" t="s">
        <v>63</v>
      </c>
      <c r="F30" s="9" t="n">
        <v>442</v>
      </c>
      <c r="G30" s="8" t="s">
        <v>137</v>
      </c>
      <c r="H30" s="9" t="s">
        <v>61</v>
      </c>
      <c r="I30" s="9" t="n">
        <v>6</v>
      </c>
      <c r="J30" s="9"/>
      <c r="K30" s="9" t="n">
        <v>96</v>
      </c>
      <c r="L30" s="9" t="n">
        <v>330</v>
      </c>
      <c r="M30" s="9" t="n">
        <v>425</v>
      </c>
      <c r="N30" s="9" t="n">
        <v>380</v>
      </c>
      <c r="O30" s="9" t="n">
        <v>499</v>
      </c>
      <c r="P30" s="9"/>
      <c r="Q30" s="10" t="s">
        <v>62</v>
      </c>
      <c r="R30" s="9" t="str">
        <f aca="false">IF(Q30="Aprobada","Ya aprobada",IF(Q30="Cursada aprobada","Ya cursada",IF(AND(OR(L30="",COUNTIF($F$2:$F$46,L30)=0,COUNTIFS($F$2:$F$46,L30,$Q$2:$Q$46,"Aprobada")&gt;0,AND(Resumen!$B$15="La cursada aprobada",COUNTIFS($F$2:$F$46,L30,$Q$2:$Q$46,"Cursada aprobada")&gt;0)),OR(M30="",COUNTIF($F$2:$F$46,M30)=0,COUNTIFS($F$2:$F$46,M30,$Q$2:$Q$46,"Aprobada")&gt;0,AND(Resumen!$B$15="La cursada aprobada",COUNTIFS($F$2:$F$46,M30,$Q$2:$Q$46,"Cursada aprobada")&gt;0)),OR(N30="",COUNTIF($F$2:$F$46,N30)=0,COUNTIFS($F$2:$F$46,N30,$Q$2:$Q$46,"Aprobada")&gt;0,AND(Resumen!$B$15="La cursada aprobada",COUNTIFS($F$2:$F$46,N30,$Q$2:$Q$46,"Cursada aprobada")&gt;0)),OR(O30="",COUNTIF($F$2:$F$46,O30)=0,COUNTIFS($F$2:$F$46,O30,$Q$2:$Q$46,"Aprobada")&gt;0,AND(Resumen!$B$15="La cursada aprobada",COUNTIFS($F$2:$F$46,O30,$Q$2:$Q$46,"Cursada aprobada")&gt;0)),OR(P30="",COUNTIF($F$2:$F$46,P30)=0,COUNTIFS($F$2:$F$46,P30,$Q$2:$Q$46,"Aprobada")&gt;0,AND(Resumen!$B$15="La cursada aprobada",COUNTIFS($F$2:$F$46,P30,$Q$2:$Q$46,"Cursada aprobada")&gt;0))),"Sí","No")))</f>
        <v>No</v>
      </c>
      <c r="S30" s="8" t="str">
        <f aca="false">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</f>
        <v>330 425 380 499</v>
      </c>
      <c r="T30" s="9" t="str">
        <f aca="false">IF(Q30="Cursada aprobada",IF(AND(OR(L30="",COUNTIF($F$2:$F$46,L30)=0,COUNTIFS($F$2:$F$46,L30,$Q$2:$Q$46,"Aprobada")&gt;0),OR(M30="",COUNTIF($F$2:$F$46,M30)=0,COUNTIFS($F$2:$F$46,M30,$Q$2:$Q$46,"Aprobada")&gt;0),OR(N30="",COUNTIF($F$2:$F$46,N30)=0,COUNTIFS($F$2:$F$46,N30,$Q$2:$Q$46,"Aprobada")&gt;0),OR(O30="",COUNTIF($F$2:$F$46,O30)=0,COUNTIFS($F$2:$F$46,O30,$Q$2:$Q$46,"Aprobada")&gt;0),OR(P30="",COUNTIF($F$2:$F$46,P30)=0,COUNTIFS($F$2:$F$46,P30,$Q$2:$Q$46,"Aprobada")&gt;0)),"Sí","No"),"")</f>
        <v/>
      </c>
      <c r="U30" s="9" t="str">
        <f aca="false">IF(Q30="Aprobada",TRIM(IF(NOT(OR(L30="",COUNTIF($F$2:$F$46,L30)=0,COUNTIFS($F$2:$F$46,L30,$Q$2:$Q$46,"Aprobada")&gt;0)),L30&amp;" ","")&amp;IF(NOT(OR(M30="",COUNTIF($F$2:$F$46,M30)=0,COUNTIFS($F$2:$F$46,M30,$Q$2:$Q$46,"Aprobada")&gt;0)),M30&amp;" ","")&amp;IF(NOT(OR(N30="",COUNTIF($F$2:$F$46,N30)=0,COUNTIFS($F$2:$F$46,N30,$Q$2:$Q$46,"Aprobada")&gt;0)),N30&amp;" ","")&amp;IF(NOT(OR(O30="",COUNTIF($F$2:$F$46,O30)=0,COUNTIFS($F$2:$F$46,O30,$Q$2:$Q$46,"Aprobada")&gt;0)),O30&amp;" ","")&amp;IF(NOT(OR(P30="",COUNTIF($F$2:$F$46,P30)=0,COUNTIFS($F$2:$F$46,P30,$Q$2:$Q$46,"Aprobada")&gt;0)),P30&amp;" ","")),IF(Q30="Cursada aprobada",TRIM(IF(NOT(OR(L30="",COUNTIF($F$2:$F$46,L30)=0,COUNTIFS($F$2:$F$46,L30,$Q$2:$Q$46,"Aprobada")&gt;0,AND(Resumen!$B$15="La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","")),""))</f>
        <v/>
      </c>
    </row>
    <row r="31" customFormat="false" ht="15" hidden="false" customHeight="false" outlineLevel="0" collapsed="false">
      <c r="A31" s="8" t="s">
        <v>83</v>
      </c>
      <c r="B31" s="8"/>
      <c r="C31" s="9" t="n">
        <v>4</v>
      </c>
      <c r="D31" s="9" t="n">
        <v>2</v>
      </c>
      <c r="E31" s="9" t="s">
        <v>69</v>
      </c>
      <c r="F31" s="9" t="n">
        <v>201</v>
      </c>
      <c r="G31" s="8" t="s">
        <v>91</v>
      </c>
      <c r="H31" s="9" t="s">
        <v>92</v>
      </c>
      <c r="I31" s="9" t="n">
        <v>2</v>
      </c>
      <c r="J31" s="9"/>
      <c r="K31" s="9" t="n">
        <v>32</v>
      </c>
      <c r="L31" s="9" t="n">
        <v>381</v>
      </c>
      <c r="M31" s="9"/>
      <c r="N31" s="9"/>
      <c r="O31" s="9"/>
      <c r="P31" s="9"/>
      <c r="Q31" s="10" t="s">
        <v>62</v>
      </c>
      <c r="R31" s="9" t="str">
        <f aca="false">IF(Q31="Aprobada","Ya aprobada",IF(Q31="Cursada aprobada","Ya cursada",IF(AND(OR(L31="",COUNTIF($F$2:$F$46,L31)=0,COUNTIFS($F$2:$F$46,L31,$Q$2:$Q$46,"Aprobada")&gt;0,AND(Resumen!$B$15="La cursada aprobada",COUNTIFS($F$2:$F$46,L31,$Q$2:$Q$46,"Cursada aprobada")&gt;0)),OR(M31="",COUNTIF($F$2:$F$46,M31)=0,COUNTIFS($F$2:$F$46,M31,$Q$2:$Q$46,"Aprobada")&gt;0,AND(Resumen!$B$15="La cursada aprobada",COUNTIFS($F$2:$F$46,M31,$Q$2:$Q$46,"Cursada aprobada")&gt;0)),OR(N31="",COUNTIF($F$2:$F$46,N31)=0,COUNTIFS($F$2:$F$46,N31,$Q$2:$Q$46,"Aprobada")&gt;0,AND(Resumen!$B$15="La cursada aprobada",COUNTIFS($F$2:$F$46,N31,$Q$2:$Q$46,"Cursada aprobada")&gt;0)),OR(O31="",COUNTIF($F$2:$F$46,O31)=0,COUNTIFS($F$2:$F$46,O31,$Q$2:$Q$46,"Aprobada")&gt;0,AND(Resumen!$B$15="La cursada aprobada",COUNTIFS($F$2:$F$46,O31,$Q$2:$Q$46,"Cursada aprobada")&gt;0)),OR(P31="",COUNTIF($F$2:$F$46,P31)=0,COUNTIFS($F$2:$F$46,P31,$Q$2:$Q$46,"Aprobada")&gt;0,AND(Resumen!$B$15="La cursada aprobada",COUNTIFS($F$2:$F$46,P31,$Q$2:$Q$46,"Cursada aprobada")&gt;0))),"Sí","No")))</f>
        <v>No</v>
      </c>
      <c r="S31" s="8" t="str">
        <f aca="false">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</f>
        <v>381</v>
      </c>
      <c r="T31" s="9" t="str">
        <f aca="false">IF(Q31="Cursada aprobada",IF(AND(OR(L31="",COUNTIF($F$2:$F$46,L31)=0,COUNTIFS($F$2:$F$46,L31,$Q$2:$Q$46,"Aprobada")&gt;0),OR(M31="",COUNTIF($F$2:$F$46,M31)=0,COUNTIFS($F$2:$F$46,M31,$Q$2:$Q$46,"Aprobada")&gt;0),OR(N31="",COUNTIF($F$2:$F$46,N31)=0,COUNTIFS($F$2:$F$46,N31,$Q$2:$Q$46,"Aprobada")&gt;0),OR(O31="",COUNTIF($F$2:$F$46,O31)=0,COUNTIFS($F$2:$F$46,O31,$Q$2:$Q$46,"Aprobada")&gt;0),OR(P31="",COUNTIF($F$2:$F$46,P31)=0,COUNTIFS($F$2:$F$46,P31,$Q$2:$Q$46,"Aprobada")&gt;0)),"Sí","No"),"")</f>
        <v/>
      </c>
      <c r="U31" s="9" t="str">
        <f aca="false">IF(Q31="Aprobada",TRIM(IF(NOT(OR(L31="",COUNTIF($F$2:$F$46,L31)=0,COUNTIFS($F$2:$F$46,L31,$Q$2:$Q$46,"Aprobada")&gt;0)),L31&amp;" ","")&amp;IF(NOT(OR(M31="",COUNTIF($F$2:$F$46,M31)=0,COUNTIFS($F$2:$F$46,M31,$Q$2:$Q$46,"Aprobada")&gt;0)),M31&amp;" ","")&amp;IF(NOT(OR(N31="",COUNTIF($F$2:$F$46,N31)=0,COUNTIFS($F$2:$F$46,N31,$Q$2:$Q$46,"Aprobada")&gt;0)),N31&amp;" ","")&amp;IF(NOT(OR(O31="",COUNTIF($F$2:$F$46,O31)=0,COUNTIFS($F$2:$F$46,O31,$Q$2:$Q$46,"Aprobada")&gt;0)),O31&amp;" ","")&amp;IF(NOT(OR(P31="",COUNTIF($F$2:$F$46,P31)=0,COUNTIFS($F$2:$F$46,P31,$Q$2:$Q$46,"Aprobada")&gt;0)),P31&amp;" ","")),IF(Q31="Cursada aprobada",TRIM(IF(NOT(OR(L31="",COUNTIF($F$2:$F$46,L31)=0,COUNTIFS($F$2:$F$46,L31,$Q$2:$Q$46,"Aprobada")&gt;0,AND(Resumen!$B$15="La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","")),""))</f>
        <v/>
      </c>
    </row>
    <row r="32" customFormat="false" ht="15" hidden="false" customHeight="false" outlineLevel="0" collapsed="false">
      <c r="A32" s="8" t="s">
        <v>83</v>
      </c>
      <c r="B32" s="8"/>
      <c r="C32" s="9" t="n">
        <v>5</v>
      </c>
      <c r="D32" s="9" t="n">
        <v>1</v>
      </c>
      <c r="E32" s="9" t="s">
        <v>63</v>
      </c>
      <c r="F32" s="9" t="n">
        <v>535</v>
      </c>
      <c r="G32" s="8" t="s">
        <v>138</v>
      </c>
      <c r="H32" s="9" t="s">
        <v>61</v>
      </c>
      <c r="I32" s="9" t="n">
        <v>4</v>
      </c>
      <c r="J32" s="9"/>
      <c r="K32" s="9" t="n">
        <v>64</v>
      </c>
      <c r="L32" s="9" t="n">
        <v>435</v>
      </c>
      <c r="M32" s="9"/>
      <c r="N32" s="9"/>
      <c r="O32" s="9"/>
      <c r="P32" s="9"/>
      <c r="Q32" s="10" t="s">
        <v>62</v>
      </c>
      <c r="R32" s="9" t="str">
        <f aca="false">IF(Q32="Aprobada","Ya aprobada",IF(Q32="Cursada aprobada","Ya cursada",IF(AND(OR(L32="",COUNTIF($F$2:$F$46,L32)=0,COUNTIFS($F$2:$F$46,L32,$Q$2:$Q$46,"Aprobada")&gt;0,AND(Resumen!$B$15="La cursada aprobada",COUNTIFS($F$2:$F$46,L32,$Q$2:$Q$46,"Cursada aprobada")&gt;0)),OR(M32="",COUNTIF($F$2:$F$46,M32)=0,COUNTIFS($F$2:$F$46,M32,$Q$2:$Q$46,"Aprobada")&gt;0,AND(Resumen!$B$15="La cursada aprobada",COUNTIFS($F$2:$F$46,M32,$Q$2:$Q$46,"Cursada aprobada")&gt;0)),OR(N32="",COUNTIF($F$2:$F$46,N32)=0,COUNTIFS($F$2:$F$46,N32,$Q$2:$Q$46,"Aprobada")&gt;0,AND(Resumen!$B$15="La cursada aprobada",COUNTIFS($F$2:$F$46,N32,$Q$2:$Q$46,"Cursada aprobada")&gt;0)),OR(O32="",COUNTIF($F$2:$F$46,O32)=0,COUNTIFS($F$2:$F$46,O32,$Q$2:$Q$46,"Aprobada")&gt;0,AND(Resumen!$B$15="La cursada aprobada",COUNTIFS($F$2:$F$46,O32,$Q$2:$Q$46,"Cursada aprobada")&gt;0)),OR(P32="",COUNTIF($F$2:$F$46,P32)=0,COUNTIFS($F$2:$F$46,P32,$Q$2:$Q$46,"Aprobada")&gt;0,AND(Resumen!$B$15="La cursada aprobada",COUNTIFS($F$2:$F$46,P32,$Q$2:$Q$46,"Cursada aprobada")&gt;0))),"Sí","No")))</f>
        <v>No</v>
      </c>
      <c r="S32" s="8" t="str">
        <f aca="false">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</f>
        <v>435</v>
      </c>
      <c r="T32" s="9" t="str">
        <f aca="false">IF(Q32="Cursada aprobada",IF(AND(OR(L32="",COUNTIF($F$2:$F$46,L32)=0,COUNTIFS($F$2:$F$46,L32,$Q$2:$Q$46,"Aprobada")&gt;0),OR(M32="",COUNTIF($F$2:$F$46,M32)=0,COUNTIFS($F$2:$F$46,M32,$Q$2:$Q$46,"Aprobada")&gt;0),OR(N32="",COUNTIF($F$2:$F$46,N32)=0,COUNTIFS($F$2:$F$46,N32,$Q$2:$Q$46,"Aprobada")&gt;0),OR(O32="",COUNTIF($F$2:$F$46,O32)=0,COUNTIFS($F$2:$F$46,O32,$Q$2:$Q$46,"Aprobada")&gt;0),OR(P32="",COUNTIF($F$2:$F$46,P32)=0,COUNTIFS($F$2:$F$46,P32,$Q$2:$Q$46,"Aprobada")&gt;0)),"Sí","No"),"")</f>
        <v/>
      </c>
      <c r="U32" s="9" t="str">
        <f aca="false">IF(Q32="Aprobada",TRIM(IF(NOT(OR(L32="",COUNTIF($F$2:$F$46,L32)=0,COUNTIFS($F$2:$F$46,L32,$Q$2:$Q$46,"Aprobada")&gt;0)),L32&amp;" ","")&amp;IF(NOT(OR(M32="",COUNTIF($F$2:$F$46,M32)=0,COUNTIFS($F$2:$F$46,M32,$Q$2:$Q$46,"Aprobada")&gt;0)),M32&amp;" ","")&amp;IF(NOT(OR(N32="",COUNTIF($F$2:$F$46,N32)=0,COUNTIFS($F$2:$F$46,N32,$Q$2:$Q$46,"Aprobada")&gt;0)),N32&amp;" ","")&amp;IF(NOT(OR(O32="",COUNTIF($F$2:$F$46,O32)=0,COUNTIFS($F$2:$F$46,O32,$Q$2:$Q$46,"Aprobada")&gt;0)),O32&amp;" ","")&amp;IF(NOT(OR(P32="",COUNTIF($F$2:$F$46,P32)=0,COUNTIFS($F$2:$F$46,P32,$Q$2:$Q$46,"Aprobada")&gt;0)),P32&amp;" ","")),IF(Q32="Cursada aprobada",TRIM(IF(NOT(OR(L32="",COUNTIF($F$2:$F$46,L32)=0,COUNTIFS($F$2:$F$46,L32,$Q$2:$Q$46,"Aprobada")&gt;0,AND(Resumen!$B$15="La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","")),""))</f>
        <v/>
      </c>
    </row>
    <row r="33" customFormat="false" ht="15" hidden="false" customHeight="false" outlineLevel="0" collapsed="false">
      <c r="A33" s="8" t="s">
        <v>83</v>
      </c>
      <c r="B33" s="8"/>
      <c r="C33" s="9" t="n">
        <v>5</v>
      </c>
      <c r="D33" s="9" t="n">
        <v>1</v>
      </c>
      <c r="E33" s="9" t="s">
        <v>63</v>
      </c>
      <c r="F33" s="9" t="n">
        <v>542</v>
      </c>
      <c r="G33" s="8" t="s">
        <v>139</v>
      </c>
      <c r="H33" s="9" t="s">
        <v>61</v>
      </c>
      <c r="I33" s="9" t="n">
        <v>4</v>
      </c>
      <c r="J33" s="9"/>
      <c r="K33" s="9" t="n">
        <v>64</v>
      </c>
      <c r="L33" s="9" t="n">
        <v>435</v>
      </c>
      <c r="M33" s="9" t="n">
        <v>441</v>
      </c>
      <c r="N33" s="9" t="n">
        <v>437</v>
      </c>
      <c r="O33" s="9" t="n">
        <v>442</v>
      </c>
      <c r="P33" s="9"/>
      <c r="Q33" s="10" t="s">
        <v>62</v>
      </c>
      <c r="R33" s="9" t="str">
        <f aca="false">IF(Q33="Aprobada","Ya aprobada",IF(Q33="Cursada aprobada","Ya cursada",IF(AND(OR(L33="",COUNTIF($F$2:$F$46,L33)=0,COUNTIFS($F$2:$F$46,L33,$Q$2:$Q$46,"Aprobada")&gt;0,AND(Resumen!$B$15="La cursada aprobada",COUNTIFS($F$2:$F$46,L33,$Q$2:$Q$46,"Cursada aprobada")&gt;0)),OR(M33="",COUNTIF($F$2:$F$46,M33)=0,COUNTIFS($F$2:$F$46,M33,$Q$2:$Q$46,"Aprobada")&gt;0,AND(Resumen!$B$15="La cursada aprobada",COUNTIFS($F$2:$F$46,M33,$Q$2:$Q$46,"Cursada aprobada")&gt;0)),OR(N33="",COUNTIF($F$2:$F$46,N33)=0,COUNTIFS($F$2:$F$46,N33,$Q$2:$Q$46,"Aprobada")&gt;0,AND(Resumen!$B$15="La cursada aprobada",COUNTIFS($F$2:$F$46,N33,$Q$2:$Q$46,"Cursada aprobada")&gt;0)),OR(O33="",COUNTIF($F$2:$F$46,O33)=0,COUNTIFS($F$2:$F$46,O33,$Q$2:$Q$46,"Aprobada")&gt;0,AND(Resumen!$B$15="La cursada aprobada",COUNTIFS($F$2:$F$46,O33,$Q$2:$Q$46,"Cursada aprobada")&gt;0)),OR(P33="",COUNTIF($F$2:$F$46,P33)=0,COUNTIFS($F$2:$F$46,P33,$Q$2:$Q$46,"Aprobada")&gt;0,AND(Resumen!$B$15="La cursada aprobada",COUNTIFS($F$2:$F$46,P33,$Q$2:$Q$46,"Cursada aprobada")&gt;0))),"Sí","No")))</f>
        <v>No</v>
      </c>
      <c r="S33" s="8" t="str">
        <f aca="false">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</f>
        <v>435 441 437 442</v>
      </c>
      <c r="T33" s="9" t="str">
        <f aca="false">IF(Q33="Cursada aprobada",IF(AND(OR(L33="",COUNTIF($F$2:$F$46,L33)=0,COUNTIFS($F$2:$F$46,L33,$Q$2:$Q$46,"Aprobada")&gt;0),OR(M33="",COUNTIF($F$2:$F$46,M33)=0,COUNTIFS($F$2:$F$46,M33,$Q$2:$Q$46,"Aprobada")&gt;0),OR(N33="",COUNTIF($F$2:$F$46,N33)=0,COUNTIFS($F$2:$F$46,N33,$Q$2:$Q$46,"Aprobada")&gt;0),OR(O33="",COUNTIF($F$2:$F$46,O33)=0,COUNTIFS($F$2:$F$46,O33,$Q$2:$Q$46,"Aprobada")&gt;0),OR(P33="",COUNTIF($F$2:$F$46,P33)=0,COUNTIFS($F$2:$F$46,P33,$Q$2:$Q$46,"Aprobada")&gt;0)),"Sí","No"),"")</f>
        <v/>
      </c>
      <c r="U33" s="9" t="str">
        <f aca="false">IF(Q33="Aprobada",TRIM(IF(NOT(OR(L33="",COUNTIF($F$2:$F$46,L33)=0,COUNTIFS($F$2:$F$46,L33,$Q$2:$Q$46,"Aprobada")&gt;0)),L33&amp;" ","")&amp;IF(NOT(OR(M33="",COUNTIF($F$2:$F$46,M33)=0,COUNTIFS($F$2:$F$46,M33,$Q$2:$Q$46,"Aprobada")&gt;0)),M33&amp;" ","")&amp;IF(NOT(OR(N33="",COUNTIF($F$2:$F$46,N33)=0,COUNTIFS($F$2:$F$46,N33,$Q$2:$Q$46,"Aprobada")&gt;0)),N33&amp;" ","")&amp;IF(NOT(OR(O33="",COUNTIF($F$2:$F$46,O33)=0,COUNTIFS($F$2:$F$46,O33,$Q$2:$Q$46,"Aprobada")&gt;0)),O33&amp;" ","")&amp;IF(NOT(OR(P33="",COUNTIF($F$2:$F$46,P33)=0,COUNTIFS($F$2:$F$46,P33,$Q$2:$Q$46,"Aprobada")&gt;0)),P33&amp;" ","")),IF(Q33="Cursada aprobada",TRIM(IF(NOT(OR(L33="",COUNTIF($F$2:$F$46,L33)=0,COUNTIFS($F$2:$F$46,L33,$Q$2:$Q$46,"Aprobada")&gt;0,AND(Resumen!$B$15="La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","")),""))</f>
        <v/>
      </c>
    </row>
    <row r="34" customFormat="false" ht="15" hidden="false" customHeight="false" outlineLevel="0" collapsed="false">
      <c r="A34" s="8" t="s">
        <v>83</v>
      </c>
      <c r="B34" s="8"/>
      <c r="C34" s="9" t="n">
        <v>5</v>
      </c>
      <c r="D34" s="9" t="n">
        <v>1</v>
      </c>
      <c r="E34" s="9" t="s">
        <v>63</v>
      </c>
      <c r="F34" s="9" t="n">
        <v>540</v>
      </c>
      <c r="G34" s="8" t="s">
        <v>140</v>
      </c>
      <c r="H34" s="9" t="s">
        <v>61</v>
      </c>
      <c r="I34" s="9" t="n">
        <v>6</v>
      </c>
      <c r="J34" s="9"/>
      <c r="K34" s="9" t="n">
        <v>96</v>
      </c>
      <c r="L34" s="9" t="n">
        <v>435</v>
      </c>
      <c r="M34" s="9" t="n">
        <v>441</v>
      </c>
      <c r="N34" s="9" t="n">
        <v>437</v>
      </c>
      <c r="O34" s="9" t="n">
        <v>442</v>
      </c>
      <c r="P34" s="9"/>
      <c r="Q34" s="10" t="s">
        <v>62</v>
      </c>
      <c r="R34" s="9" t="str">
        <f aca="false">IF(Q34="Aprobada","Ya aprobada",IF(Q34="Cursada aprobada","Ya cursada",IF(AND(OR(L34="",COUNTIF($F$2:$F$46,L34)=0,COUNTIFS($F$2:$F$46,L34,$Q$2:$Q$46,"Aprobada")&gt;0,AND(Resumen!$B$15="La cursada aprobada",COUNTIFS($F$2:$F$46,L34,$Q$2:$Q$46,"Cursada aprobada")&gt;0)),OR(M34="",COUNTIF($F$2:$F$46,M34)=0,COUNTIFS($F$2:$F$46,M34,$Q$2:$Q$46,"Aprobada")&gt;0,AND(Resumen!$B$15="La cursada aprobada",COUNTIFS($F$2:$F$46,M34,$Q$2:$Q$46,"Cursada aprobada")&gt;0)),OR(N34="",COUNTIF($F$2:$F$46,N34)=0,COUNTIFS($F$2:$F$46,N34,$Q$2:$Q$46,"Aprobada")&gt;0,AND(Resumen!$B$15="La cursada aprobada",COUNTIFS($F$2:$F$46,N34,$Q$2:$Q$46,"Cursada aprobada")&gt;0)),OR(O34="",COUNTIF($F$2:$F$46,O34)=0,COUNTIFS($F$2:$F$46,O34,$Q$2:$Q$46,"Aprobada")&gt;0,AND(Resumen!$B$15="La cursada aprobada",COUNTIFS($F$2:$F$46,O34,$Q$2:$Q$46,"Cursada aprobada")&gt;0)),OR(P34="",COUNTIF($F$2:$F$46,P34)=0,COUNTIFS($F$2:$F$46,P34,$Q$2:$Q$46,"Aprobada")&gt;0,AND(Resumen!$B$15="La cursada aprobada",COUNTIFS($F$2:$F$46,P34,$Q$2:$Q$46,"Cursada aprobada")&gt;0))),"Sí","No")))</f>
        <v>No</v>
      </c>
      <c r="S34" s="8" t="str">
        <f aca="false">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</f>
        <v>435 441 437 442</v>
      </c>
      <c r="T34" s="9" t="str">
        <f aca="false">IF(Q34="Cursada aprobada",IF(AND(OR(L34="",COUNTIF($F$2:$F$46,L34)=0,COUNTIFS($F$2:$F$46,L34,$Q$2:$Q$46,"Aprobada")&gt;0),OR(M34="",COUNTIF($F$2:$F$46,M34)=0,COUNTIFS($F$2:$F$46,M34,$Q$2:$Q$46,"Aprobada")&gt;0),OR(N34="",COUNTIF($F$2:$F$46,N34)=0,COUNTIFS($F$2:$F$46,N34,$Q$2:$Q$46,"Aprobada")&gt;0),OR(O34="",COUNTIF($F$2:$F$46,O34)=0,COUNTIFS($F$2:$F$46,O34,$Q$2:$Q$46,"Aprobada")&gt;0),OR(P34="",COUNTIF($F$2:$F$46,P34)=0,COUNTIFS($F$2:$F$46,P34,$Q$2:$Q$46,"Aprobada")&gt;0)),"Sí","No"),"")</f>
        <v/>
      </c>
      <c r="U34" s="9" t="str">
        <f aca="false">IF(Q34="Aprobada",TRIM(IF(NOT(OR(L34="",COUNTIF($F$2:$F$46,L34)=0,COUNTIFS($F$2:$F$46,L34,$Q$2:$Q$46,"Aprobada")&gt;0)),L34&amp;" ","")&amp;IF(NOT(OR(M34="",COUNTIF($F$2:$F$46,M34)=0,COUNTIFS($F$2:$F$46,M34,$Q$2:$Q$46,"Aprobada")&gt;0)),M34&amp;" ","")&amp;IF(NOT(OR(N34="",COUNTIF($F$2:$F$46,N34)=0,COUNTIFS($F$2:$F$46,N34,$Q$2:$Q$46,"Aprobada")&gt;0)),N34&amp;" ","")&amp;IF(NOT(OR(O34="",COUNTIF($F$2:$F$46,O34)=0,COUNTIFS($F$2:$F$46,O34,$Q$2:$Q$46,"Aprobada")&gt;0)),O34&amp;" ","")&amp;IF(NOT(OR(P34="",COUNTIF($F$2:$F$46,P34)=0,COUNTIFS($F$2:$F$46,P34,$Q$2:$Q$46,"Aprobada")&gt;0)),P34&amp;" ","")),IF(Q34="Cursada aprobada",TRIM(IF(NOT(OR(L34="",COUNTIF($F$2:$F$46,L34)=0,COUNTIFS($F$2:$F$46,L34,$Q$2:$Q$46,"Aprobada")&gt;0,AND(Resumen!$B$15="La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","")),""))</f>
        <v/>
      </c>
    </row>
    <row r="35" customFormat="false" ht="15" hidden="false" customHeight="false" outlineLevel="0" collapsed="false">
      <c r="A35" s="8" t="s">
        <v>83</v>
      </c>
      <c r="B35" s="8"/>
      <c r="C35" s="9" t="n">
        <v>5</v>
      </c>
      <c r="D35" s="9" t="n">
        <v>1</v>
      </c>
      <c r="E35" s="9" t="s">
        <v>77</v>
      </c>
      <c r="F35" s="9" t="n">
        <v>591</v>
      </c>
      <c r="G35" s="8" t="s">
        <v>141</v>
      </c>
      <c r="H35" s="9" t="s">
        <v>92</v>
      </c>
      <c r="I35" s="9" t="n">
        <v>2</v>
      </c>
      <c r="J35" s="9"/>
      <c r="K35" s="9" t="n">
        <v>32</v>
      </c>
      <c r="L35" s="9" t="n">
        <v>425</v>
      </c>
      <c r="M35" s="9" t="n">
        <v>244</v>
      </c>
      <c r="N35" s="9" t="n">
        <v>470</v>
      </c>
      <c r="O35" s="9"/>
      <c r="P35" s="9"/>
      <c r="Q35" s="10" t="s">
        <v>62</v>
      </c>
      <c r="R35" s="9" t="str">
        <f aca="false">IF(Q35="Aprobada","Ya aprobada",IF(Q35="Cursada aprobada","Ya cursada",IF(AND(OR(L35="",COUNTIF($F$2:$F$46,L35)=0,COUNTIFS($F$2:$F$46,L35,$Q$2:$Q$46,"Aprobada")&gt;0,AND(Resumen!$B$15="La cursada aprobada",COUNTIFS($F$2:$F$46,L35,$Q$2:$Q$46,"Cursada aprobada")&gt;0)),OR(M35="",COUNTIF($F$2:$F$46,M35)=0,COUNTIFS($F$2:$F$46,M35,$Q$2:$Q$46,"Aprobada")&gt;0,AND(Resumen!$B$15="La cursada aprobada",COUNTIFS($F$2:$F$46,M35,$Q$2:$Q$46,"Cursada aprobada")&gt;0)),OR(N35="",COUNTIF($F$2:$F$46,N35)=0,COUNTIFS($F$2:$F$46,N35,$Q$2:$Q$46,"Aprobada")&gt;0,AND(Resumen!$B$15="La cursada aprobada",COUNTIFS($F$2:$F$46,N35,$Q$2:$Q$46,"Cursada aprobada")&gt;0)),OR(O35="",COUNTIF($F$2:$F$46,O35)=0,COUNTIFS($F$2:$F$46,O35,$Q$2:$Q$46,"Aprobada")&gt;0,AND(Resumen!$B$15="La cursada aprobada",COUNTIFS($F$2:$F$46,O35,$Q$2:$Q$46,"Cursada aprobada")&gt;0)),OR(P35="",COUNTIF($F$2:$F$46,P35)=0,COUNTIFS($F$2:$F$46,P35,$Q$2:$Q$46,"Aprobada")&gt;0,AND(Resumen!$B$15="La cursada aprobada",COUNTIFS($F$2:$F$46,P35,$Q$2:$Q$46,"Cursada aprobada")&gt;0))),"Sí","No")))</f>
        <v>No</v>
      </c>
      <c r="S35" s="8" t="str">
        <f aca="false">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</f>
        <v>425 244 470</v>
      </c>
      <c r="T35" s="9" t="str">
        <f aca="false">IF(Q35="Cursada aprobada",IF(AND(OR(L35="",COUNTIF($F$2:$F$46,L35)=0,COUNTIFS($F$2:$F$46,L35,$Q$2:$Q$46,"Aprobada")&gt;0),OR(M35="",COUNTIF($F$2:$F$46,M35)=0,COUNTIFS($F$2:$F$46,M35,$Q$2:$Q$46,"Aprobada")&gt;0),OR(N35="",COUNTIF($F$2:$F$46,N35)=0,COUNTIFS($F$2:$F$46,N35,$Q$2:$Q$46,"Aprobada")&gt;0),OR(O35="",COUNTIF($F$2:$F$46,O35)=0,COUNTIFS($F$2:$F$46,O35,$Q$2:$Q$46,"Aprobada")&gt;0),OR(P35="",COUNTIF($F$2:$F$46,P35)=0,COUNTIFS($F$2:$F$46,P35,$Q$2:$Q$46,"Aprobada")&gt;0)),"Sí","No"),"")</f>
        <v/>
      </c>
      <c r="U35" s="9" t="str">
        <f aca="false">IF(Q35="Aprobada",TRIM(IF(NOT(OR(L35="",COUNTIF($F$2:$F$46,L35)=0,COUNTIFS($F$2:$F$46,L35,$Q$2:$Q$46,"Aprobada")&gt;0)),L35&amp;" ","")&amp;IF(NOT(OR(M35="",COUNTIF($F$2:$F$46,M35)=0,COUNTIFS($F$2:$F$46,M35,$Q$2:$Q$46,"Aprobada")&gt;0)),M35&amp;" ","")&amp;IF(NOT(OR(N35="",COUNTIF($F$2:$F$46,N35)=0,COUNTIFS($F$2:$F$46,N35,$Q$2:$Q$46,"Aprobada")&gt;0)),N35&amp;" ","")&amp;IF(NOT(OR(O35="",COUNTIF($F$2:$F$46,O35)=0,COUNTIFS($F$2:$F$46,O35,$Q$2:$Q$46,"Aprobada")&gt;0)),O35&amp;" ","")&amp;IF(NOT(OR(P35="",COUNTIF($F$2:$F$46,P35)=0,COUNTIFS($F$2:$F$46,P35,$Q$2:$Q$46,"Aprobada")&gt;0)),P35&amp;" ","")),IF(Q35="Cursada aprobada",TRIM(IF(NOT(OR(L35="",COUNTIF($F$2:$F$46,L35)=0,COUNTIFS($F$2:$F$46,L35,$Q$2:$Q$46,"Aprobada")&gt;0,AND(Resumen!$B$15="La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","")),""))</f>
        <v/>
      </c>
    </row>
    <row r="36" customFormat="false" ht="15" hidden="false" customHeight="false" outlineLevel="0" collapsed="false">
      <c r="A36" s="8" t="s">
        <v>105</v>
      </c>
      <c r="B36" s="8" t="s">
        <v>142</v>
      </c>
      <c r="C36" s="9" t="n">
        <v>5</v>
      </c>
      <c r="D36" s="9" t="n">
        <v>2</v>
      </c>
      <c r="E36" s="9" t="s">
        <v>63</v>
      </c>
      <c r="F36" s="9" t="n">
        <v>570</v>
      </c>
      <c r="G36" s="8" t="s">
        <v>143</v>
      </c>
      <c r="H36" s="9"/>
      <c r="I36" s="9" t="n">
        <v>4</v>
      </c>
      <c r="J36" s="9"/>
      <c r="K36" s="9" t="n">
        <v>64</v>
      </c>
      <c r="L36" s="9" t="n">
        <v>435</v>
      </c>
      <c r="M36" s="9" t="n">
        <v>437</v>
      </c>
      <c r="N36" s="9" t="n">
        <v>441</v>
      </c>
      <c r="O36" s="9" t="n">
        <v>442</v>
      </c>
      <c r="P36" s="9"/>
      <c r="Q36" s="10" t="s">
        <v>62</v>
      </c>
      <c r="R36" s="9" t="str">
        <f aca="false">IF(Q36="Aprobada","Ya aprobada",IF(Q36="Cursada aprobada","Ya cursada",IF(AND(OR(L36="",COUNTIF($F$2:$F$46,L36)=0,COUNTIFS($F$2:$F$46,L36,$Q$2:$Q$46,"Aprobada")&gt;0,AND(Resumen!$B$15="La cursada aprobada",COUNTIFS($F$2:$F$46,L36,$Q$2:$Q$46,"Cursada aprobada")&gt;0)),OR(M36="",COUNTIF($F$2:$F$46,M36)=0,COUNTIFS($F$2:$F$46,M36,$Q$2:$Q$46,"Aprobada")&gt;0,AND(Resumen!$B$15="La cursada aprobada",COUNTIFS($F$2:$F$46,M36,$Q$2:$Q$46,"Cursada aprobada")&gt;0)),OR(N36="",COUNTIF($F$2:$F$46,N36)=0,COUNTIFS($F$2:$F$46,N36,$Q$2:$Q$46,"Aprobada")&gt;0,AND(Resumen!$B$15="La cursada aprobada",COUNTIFS($F$2:$F$46,N36,$Q$2:$Q$46,"Cursada aprobada")&gt;0)),OR(O36="",COUNTIF($F$2:$F$46,O36)=0,COUNTIFS($F$2:$F$46,O36,$Q$2:$Q$46,"Aprobada")&gt;0,AND(Resumen!$B$15="La cursada aprobada",COUNTIFS($F$2:$F$46,O36,$Q$2:$Q$46,"Cursada aprobada")&gt;0)),OR(P36="",COUNTIF($F$2:$F$46,P36)=0,COUNTIFS($F$2:$F$46,P36,$Q$2:$Q$46,"Aprobada")&gt;0,AND(Resumen!$B$15="La cursada aprobada",COUNTIFS($F$2:$F$46,P36,$Q$2:$Q$46,"Cursada aprobada")&gt;0))),"Sí","No")))</f>
        <v>No</v>
      </c>
      <c r="S36" s="8" t="str">
        <f aca="false">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</f>
        <v>435 437 441 442</v>
      </c>
      <c r="T36" s="9" t="str">
        <f aca="false">IF(Q36="Cursada aprobada",IF(AND(OR(L36="",COUNTIF($F$2:$F$46,L36)=0,COUNTIFS($F$2:$F$46,L36,$Q$2:$Q$46,"Aprobada")&gt;0),OR(M36="",COUNTIF($F$2:$F$46,M36)=0,COUNTIFS($F$2:$F$46,M36,$Q$2:$Q$46,"Aprobada")&gt;0),OR(N36="",COUNTIF($F$2:$F$46,N36)=0,COUNTIFS($F$2:$F$46,N36,$Q$2:$Q$46,"Aprobada")&gt;0),OR(O36="",COUNTIF($F$2:$F$46,O36)=0,COUNTIFS($F$2:$F$46,O36,$Q$2:$Q$46,"Aprobada")&gt;0),OR(P36="",COUNTIF($F$2:$F$46,P36)=0,COUNTIFS($F$2:$F$46,P36,$Q$2:$Q$46,"Aprobada")&gt;0)),"Sí","No"),"")</f>
        <v/>
      </c>
      <c r="U36" s="9" t="str">
        <f aca="false">IF(Q36="Aprobada",TRIM(IF(NOT(OR(L36="",COUNTIF($F$2:$F$46,L36)=0,COUNTIFS($F$2:$F$46,L36,$Q$2:$Q$46,"Aprobada")&gt;0)),L36&amp;" ","")&amp;IF(NOT(OR(M36="",COUNTIF($F$2:$F$46,M36)=0,COUNTIFS($F$2:$F$46,M36,$Q$2:$Q$46,"Aprobada")&gt;0)),M36&amp;" ","")&amp;IF(NOT(OR(N36="",COUNTIF($F$2:$F$46,N36)=0,COUNTIFS($F$2:$F$46,N36,$Q$2:$Q$46,"Aprobada")&gt;0)),N36&amp;" ","")&amp;IF(NOT(OR(O36="",COUNTIF($F$2:$F$46,O36)=0,COUNTIFS($F$2:$F$46,O36,$Q$2:$Q$46,"Aprobada")&gt;0)),O36&amp;" ","")&amp;IF(NOT(OR(P36="",COUNTIF($F$2:$F$46,P36)=0,COUNTIFS($F$2:$F$46,P36,$Q$2:$Q$46,"Aprobada")&gt;0)),P36&amp;" ","")),IF(Q36="Cursada aprobada",TRIM(IF(NOT(OR(L36="",COUNTIF($F$2:$F$46,L36)=0,COUNTIFS($F$2:$F$46,L36,$Q$2:$Q$46,"Aprobada")&gt;0,AND(Resumen!$B$15="La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","")),""))</f>
        <v/>
      </c>
    </row>
    <row r="37" customFormat="false" ht="15" hidden="false" customHeight="false" outlineLevel="0" collapsed="false">
      <c r="A37" s="8" t="s">
        <v>105</v>
      </c>
      <c r="B37" s="8" t="s">
        <v>144</v>
      </c>
      <c r="C37" s="9" t="n">
        <v>5</v>
      </c>
      <c r="D37" s="9" t="n">
        <v>2</v>
      </c>
      <c r="E37" s="9" t="s">
        <v>63</v>
      </c>
      <c r="F37" s="9" t="n">
        <v>571</v>
      </c>
      <c r="G37" s="8" t="s">
        <v>145</v>
      </c>
      <c r="H37" s="9"/>
      <c r="I37" s="9" t="n">
        <v>4</v>
      </c>
      <c r="J37" s="9"/>
      <c r="K37" s="9" t="n">
        <v>64</v>
      </c>
      <c r="L37" s="9" t="n">
        <v>201</v>
      </c>
      <c r="M37" s="9" t="n">
        <v>437</v>
      </c>
      <c r="N37" s="9"/>
      <c r="O37" s="9"/>
      <c r="P37" s="9"/>
      <c r="Q37" s="10" t="s">
        <v>62</v>
      </c>
      <c r="R37" s="9" t="str">
        <f aca="false">IF(Q37="Aprobada","Ya aprobada",IF(Q37="Cursada aprobada","Ya cursada",IF(AND(OR(L37="",COUNTIF($F$2:$F$46,L37)=0,COUNTIFS($F$2:$F$46,L37,$Q$2:$Q$46,"Aprobada")&gt;0,AND(Resumen!$B$15="La cursada aprobada",COUNTIFS($F$2:$F$46,L37,$Q$2:$Q$46,"Cursada aprobada")&gt;0)),OR(M37="",COUNTIF($F$2:$F$46,M37)=0,COUNTIFS($F$2:$F$46,M37,$Q$2:$Q$46,"Aprobada")&gt;0,AND(Resumen!$B$15="La cursada aprobada",COUNTIFS($F$2:$F$46,M37,$Q$2:$Q$46,"Cursada aprobada")&gt;0)),OR(N37="",COUNTIF($F$2:$F$46,N37)=0,COUNTIFS($F$2:$F$46,N37,$Q$2:$Q$46,"Aprobada")&gt;0,AND(Resumen!$B$15="La cursada aprobada",COUNTIFS($F$2:$F$46,N37,$Q$2:$Q$46,"Cursada aprobada")&gt;0)),OR(O37="",COUNTIF($F$2:$F$46,O37)=0,COUNTIFS($F$2:$F$46,O37,$Q$2:$Q$46,"Aprobada")&gt;0,AND(Resumen!$B$15="La cursada aprobada",COUNTIFS($F$2:$F$46,O37,$Q$2:$Q$46,"Cursada aprobada")&gt;0)),OR(P37="",COUNTIF($F$2:$F$46,P37)=0,COUNTIFS($F$2:$F$46,P37,$Q$2:$Q$46,"Aprobada")&gt;0,AND(Resumen!$B$15="La cursada aprobada",COUNTIFS($F$2:$F$46,P37,$Q$2:$Q$46,"Cursada aprobada")&gt;0))),"Sí","No")))</f>
        <v>No</v>
      </c>
      <c r="S37" s="8" t="str">
        <f aca="false">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</f>
        <v>201 437</v>
      </c>
      <c r="T37" s="9" t="str">
        <f aca="false">IF(Q37="Cursada aprobada",IF(AND(OR(L37="",COUNTIF($F$2:$F$46,L37)=0,COUNTIFS($F$2:$F$46,L37,$Q$2:$Q$46,"Aprobada")&gt;0),OR(M37="",COUNTIF($F$2:$F$46,M37)=0,COUNTIFS($F$2:$F$46,M37,$Q$2:$Q$46,"Aprobada")&gt;0),OR(N37="",COUNTIF($F$2:$F$46,N37)=0,COUNTIFS($F$2:$F$46,N37,$Q$2:$Q$46,"Aprobada")&gt;0),OR(O37="",COUNTIF($F$2:$F$46,O37)=0,COUNTIFS($F$2:$F$46,O37,$Q$2:$Q$46,"Aprobada")&gt;0),OR(P37="",COUNTIF($F$2:$F$46,P37)=0,COUNTIFS($F$2:$F$46,P37,$Q$2:$Q$46,"Aprobada")&gt;0)),"Sí","No"),"")</f>
        <v/>
      </c>
      <c r="U37" s="9" t="str">
        <f aca="false">IF(Q37="Aprobada",TRIM(IF(NOT(OR(L37="",COUNTIF($F$2:$F$46,L37)=0,COUNTIFS($F$2:$F$46,L37,$Q$2:$Q$46,"Aprobada")&gt;0)),L37&amp;" ","")&amp;IF(NOT(OR(M37="",COUNTIF($F$2:$F$46,M37)=0,COUNTIFS($F$2:$F$46,M37,$Q$2:$Q$46,"Aprobada")&gt;0)),M37&amp;" ","")&amp;IF(NOT(OR(N37="",COUNTIF($F$2:$F$46,N37)=0,COUNTIFS($F$2:$F$46,N37,$Q$2:$Q$46,"Aprobada")&gt;0)),N37&amp;" ","")&amp;IF(NOT(OR(O37="",COUNTIF($F$2:$F$46,O37)=0,COUNTIFS($F$2:$F$46,O37,$Q$2:$Q$46,"Aprobada")&gt;0)),O37&amp;" ","")&amp;IF(NOT(OR(P37="",COUNTIF($F$2:$F$46,P37)=0,COUNTIFS($F$2:$F$46,P37,$Q$2:$Q$46,"Aprobada")&gt;0)),P37&amp;" ","")),IF(Q37="Cursada aprobada",TRIM(IF(NOT(OR(L37="",COUNTIF($F$2:$F$46,L37)=0,COUNTIFS($F$2:$F$46,L37,$Q$2:$Q$46,"Aprobada")&gt;0,AND(Resumen!$B$15="La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","")),""))</f>
        <v/>
      </c>
    </row>
    <row r="38" customFormat="false" ht="15" hidden="false" customHeight="false" outlineLevel="0" collapsed="false">
      <c r="A38" s="8" t="s">
        <v>105</v>
      </c>
      <c r="B38" s="8" t="s">
        <v>114</v>
      </c>
      <c r="C38" s="9" t="n">
        <v>5</v>
      </c>
      <c r="D38" s="9" t="n">
        <v>1</v>
      </c>
      <c r="E38" s="9" t="s">
        <v>59</v>
      </c>
      <c r="F38" s="9" t="n">
        <v>504</v>
      </c>
      <c r="G38" s="8" t="s">
        <v>115</v>
      </c>
      <c r="H38" s="9"/>
      <c r="I38" s="9" t="n">
        <v>4</v>
      </c>
      <c r="J38" s="9"/>
      <c r="K38" s="9" t="n">
        <v>64</v>
      </c>
      <c r="L38" s="9" t="n">
        <v>208</v>
      </c>
      <c r="M38" s="9" t="n">
        <v>314</v>
      </c>
      <c r="N38" s="9" t="n">
        <v>435</v>
      </c>
      <c r="O38" s="9"/>
      <c r="P38" s="9"/>
      <c r="Q38" s="10" t="s">
        <v>62</v>
      </c>
      <c r="R38" s="9" t="str">
        <f aca="false">IF(Q38="Aprobada","Ya aprobada",IF(Q38="Cursada aprobada","Ya cursada",IF(AND(OR(L38="",COUNTIF($F$2:$F$46,L38)=0,COUNTIFS($F$2:$F$46,L38,$Q$2:$Q$46,"Aprobada")&gt;0,AND(Resumen!$B$15="La cursada aprobada",COUNTIFS($F$2:$F$46,L38,$Q$2:$Q$46,"Cursada aprobada")&gt;0)),OR(M38="",COUNTIF($F$2:$F$46,M38)=0,COUNTIFS($F$2:$F$46,M38,$Q$2:$Q$46,"Aprobada")&gt;0,AND(Resumen!$B$15="La cursada aprobada",COUNTIFS($F$2:$F$46,M38,$Q$2:$Q$46,"Cursada aprobada")&gt;0)),OR(N38="",COUNTIF($F$2:$F$46,N38)=0,COUNTIFS($F$2:$F$46,N38,$Q$2:$Q$46,"Aprobada")&gt;0,AND(Resumen!$B$15="La cursada aprobada",COUNTIFS($F$2:$F$46,N38,$Q$2:$Q$46,"Cursada aprobada")&gt;0)),OR(O38="",COUNTIF($F$2:$F$46,O38)=0,COUNTIFS($F$2:$F$46,O38,$Q$2:$Q$46,"Aprobada")&gt;0,AND(Resumen!$B$15="La cursada aprobada",COUNTIFS($F$2:$F$46,O38,$Q$2:$Q$46,"Cursada aprobada")&gt;0)),OR(P38="",COUNTIF($F$2:$F$46,P38)=0,COUNTIFS($F$2:$F$46,P38,$Q$2:$Q$46,"Aprobada")&gt;0,AND(Resumen!$B$15="La cursada aprobada",COUNTIFS($F$2:$F$46,P38,$Q$2:$Q$46,"Cursada aprobada")&gt;0))),"Sí","No")))</f>
        <v>No</v>
      </c>
      <c r="S38" s="8" t="str">
        <f aca="false">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</f>
        <v>208 314 435</v>
      </c>
      <c r="T38" s="9" t="str">
        <f aca="false">IF(Q38="Cursada aprobada",IF(AND(OR(L38="",COUNTIF($F$2:$F$46,L38)=0,COUNTIFS($F$2:$F$46,L38,$Q$2:$Q$46,"Aprobada")&gt;0),OR(M38="",COUNTIF($F$2:$F$46,M38)=0,COUNTIFS($F$2:$F$46,M38,$Q$2:$Q$46,"Aprobada")&gt;0),OR(N38="",COUNTIF($F$2:$F$46,N38)=0,COUNTIFS($F$2:$F$46,N38,$Q$2:$Q$46,"Aprobada")&gt;0),OR(O38="",COUNTIF($F$2:$F$46,O38)=0,COUNTIFS($F$2:$F$46,O38,$Q$2:$Q$46,"Aprobada")&gt;0),OR(P38="",COUNTIF($F$2:$F$46,P38)=0,COUNTIFS($F$2:$F$46,P38,$Q$2:$Q$46,"Aprobada")&gt;0)),"Sí","No"),"")</f>
        <v/>
      </c>
      <c r="U38" s="9" t="str">
        <f aca="false">IF(Q38="Aprobada",TRIM(IF(NOT(OR(L38="",COUNTIF($F$2:$F$46,L38)=0,COUNTIFS($F$2:$F$46,L38,$Q$2:$Q$46,"Aprobada")&gt;0)),L38&amp;" ","")&amp;IF(NOT(OR(M38="",COUNTIF($F$2:$F$46,M38)=0,COUNTIFS($F$2:$F$46,M38,$Q$2:$Q$46,"Aprobada")&gt;0)),M38&amp;" ","")&amp;IF(NOT(OR(N38="",COUNTIF($F$2:$F$46,N38)=0,COUNTIFS($F$2:$F$46,N38,$Q$2:$Q$46,"Aprobada")&gt;0)),N38&amp;" ","")&amp;IF(NOT(OR(O38="",COUNTIF($F$2:$F$46,O38)=0,COUNTIFS($F$2:$F$46,O38,$Q$2:$Q$46,"Aprobada")&gt;0)),O38&amp;" ","")&amp;IF(NOT(OR(P38="",COUNTIF($F$2:$F$46,P38)=0,COUNTIFS($F$2:$F$46,P38,$Q$2:$Q$46,"Aprobada")&gt;0)),P38&amp;" ","")),IF(Q38="Cursada aprobada",TRIM(IF(NOT(OR(L38="",COUNTIF($F$2:$F$46,L38)=0,COUNTIFS($F$2:$F$46,L38,$Q$2:$Q$46,"Aprobada")&gt;0,AND(Resumen!$B$15="La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","")),""))</f>
        <v/>
      </c>
    </row>
    <row r="39" customFormat="false" ht="15" hidden="false" customHeight="false" outlineLevel="0" collapsed="false">
      <c r="A39" s="8" t="s">
        <v>105</v>
      </c>
      <c r="B39" s="8" t="s">
        <v>108</v>
      </c>
      <c r="C39" s="9" t="n">
        <v>5</v>
      </c>
      <c r="D39" s="9" t="n">
        <v>2</v>
      </c>
      <c r="E39" s="9" t="s">
        <v>59</v>
      </c>
      <c r="F39" s="9" t="n">
        <v>550</v>
      </c>
      <c r="G39" s="8" t="s">
        <v>146</v>
      </c>
      <c r="H39" s="9"/>
      <c r="I39" s="9" t="n">
        <v>4</v>
      </c>
      <c r="J39" s="9"/>
      <c r="K39" s="9" t="n">
        <v>64</v>
      </c>
      <c r="L39" s="9" t="n">
        <v>470</v>
      </c>
      <c r="M39" s="9"/>
      <c r="N39" s="9"/>
      <c r="O39" s="9"/>
      <c r="P39" s="9"/>
      <c r="Q39" s="10" t="s">
        <v>62</v>
      </c>
      <c r="R39" s="9" t="str">
        <f aca="false">IF(Q39="Aprobada","Ya aprobada",IF(Q39="Cursada aprobada","Ya cursada",IF(AND(OR(L39="",COUNTIF($F$2:$F$46,L39)=0,COUNTIFS($F$2:$F$46,L39,$Q$2:$Q$46,"Aprobada")&gt;0,AND(Resumen!$B$15="La cursada aprobada",COUNTIFS($F$2:$F$46,L39,$Q$2:$Q$46,"Cursada aprobada")&gt;0)),OR(M39="",COUNTIF($F$2:$F$46,M39)=0,COUNTIFS($F$2:$F$46,M39,$Q$2:$Q$46,"Aprobada")&gt;0,AND(Resumen!$B$15="La cursada aprobada",COUNTIFS($F$2:$F$46,M39,$Q$2:$Q$46,"Cursada aprobada")&gt;0)),OR(N39="",COUNTIF($F$2:$F$46,N39)=0,COUNTIFS($F$2:$F$46,N39,$Q$2:$Q$46,"Aprobada")&gt;0,AND(Resumen!$B$15="La cursada aprobada",COUNTIFS($F$2:$F$46,N39,$Q$2:$Q$46,"Cursada aprobada")&gt;0)),OR(O39="",COUNTIF($F$2:$F$46,O39)=0,COUNTIFS($F$2:$F$46,O39,$Q$2:$Q$46,"Aprobada")&gt;0,AND(Resumen!$B$15="La cursada aprobada",COUNTIFS($F$2:$F$46,O39,$Q$2:$Q$46,"Cursada aprobada")&gt;0)),OR(P39="",COUNTIF($F$2:$F$46,P39)=0,COUNTIFS($F$2:$F$46,P39,$Q$2:$Q$46,"Aprobada")&gt;0,AND(Resumen!$B$15="La cursada aprobada",COUNTIFS($F$2:$F$46,P39,$Q$2:$Q$46,"Cursada aprobada")&gt;0))),"Sí","No")))</f>
        <v>No</v>
      </c>
      <c r="S39" s="8" t="str">
        <f aca="false">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</f>
        <v>470</v>
      </c>
      <c r="T39" s="9" t="str">
        <f aca="false">IF(Q39="Cursada aprobada",IF(AND(OR(L39="",COUNTIF($F$2:$F$46,L39)=0,COUNTIFS($F$2:$F$46,L39,$Q$2:$Q$46,"Aprobada")&gt;0),OR(M39="",COUNTIF($F$2:$F$46,M39)=0,COUNTIFS($F$2:$F$46,M39,$Q$2:$Q$46,"Aprobada")&gt;0),OR(N39="",COUNTIF($F$2:$F$46,N39)=0,COUNTIFS($F$2:$F$46,N39,$Q$2:$Q$46,"Aprobada")&gt;0),OR(O39="",COUNTIF($F$2:$F$46,O39)=0,COUNTIFS($F$2:$F$46,O39,$Q$2:$Q$46,"Aprobada")&gt;0),OR(P39="",COUNTIF($F$2:$F$46,P39)=0,COUNTIFS($F$2:$F$46,P39,$Q$2:$Q$46,"Aprobada")&gt;0)),"Sí","No"),"")</f>
        <v/>
      </c>
      <c r="U39" s="9" t="str">
        <f aca="false">IF(Q39="Aprobada",TRIM(IF(NOT(OR(L39="",COUNTIF($F$2:$F$46,L39)=0,COUNTIFS($F$2:$F$46,L39,$Q$2:$Q$46,"Aprobada")&gt;0)),L39&amp;" ","")&amp;IF(NOT(OR(M39="",COUNTIF($F$2:$F$46,M39)=0,COUNTIFS($F$2:$F$46,M39,$Q$2:$Q$46,"Aprobada")&gt;0)),M39&amp;" ","")&amp;IF(NOT(OR(N39="",COUNTIF($F$2:$F$46,N39)=0,COUNTIFS($F$2:$F$46,N39,$Q$2:$Q$46,"Aprobada")&gt;0)),N39&amp;" ","")&amp;IF(NOT(OR(O39="",COUNTIF($F$2:$F$46,O39)=0,COUNTIFS($F$2:$F$46,O39,$Q$2:$Q$46,"Aprobada")&gt;0)),O39&amp;" ","")&amp;IF(NOT(OR(P39="",COUNTIF($F$2:$F$46,P39)=0,COUNTIFS($F$2:$F$46,P39,$Q$2:$Q$46,"Aprobada")&gt;0)),P39&amp;" ","")),IF(Q39="Cursada aprobada",TRIM(IF(NOT(OR(L39="",COUNTIF($F$2:$F$46,L39)=0,COUNTIFS($F$2:$F$46,L39,$Q$2:$Q$46,"Aprobada")&gt;0,AND(Resumen!$B$15="La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","")),""))</f>
        <v/>
      </c>
    </row>
    <row r="40" customFormat="false" ht="15" hidden="false" customHeight="false" outlineLevel="0" collapsed="false">
      <c r="A40" s="8" t="s">
        <v>105</v>
      </c>
      <c r="B40" s="8" t="s">
        <v>110</v>
      </c>
      <c r="C40" s="9" t="n">
        <v>5</v>
      </c>
      <c r="D40" s="9" t="n">
        <v>2</v>
      </c>
      <c r="E40" s="9" t="s">
        <v>63</v>
      </c>
      <c r="F40" s="9" t="n">
        <v>565</v>
      </c>
      <c r="G40" s="8" t="s">
        <v>147</v>
      </c>
      <c r="H40" s="9"/>
      <c r="I40" s="9" t="n">
        <v>4</v>
      </c>
      <c r="J40" s="9"/>
      <c r="K40" s="9" t="n">
        <v>64</v>
      </c>
      <c r="L40" s="9" t="n">
        <v>435</v>
      </c>
      <c r="M40" s="9" t="n">
        <v>437</v>
      </c>
      <c r="N40" s="9" t="n">
        <v>441</v>
      </c>
      <c r="O40" s="9" t="n">
        <v>442</v>
      </c>
      <c r="P40" s="9"/>
      <c r="Q40" s="10" t="s">
        <v>62</v>
      </c>
      <c r="R40" s="9" t="str">
        <f aca="false">IF(Q40="Aprobada","Ya aprobada",IF(Q40="Cursada aprobada","Ya cursada",IF(AND(OR(L40="",COUNTIF($F$2:$F$46,L40)=0,COUNTIFS($F$2:$F$46,L40,$Q$2:$Q$46,"Aprobada")&gt;0,AND(Resumen!$B$15="La cursada aprobada",COUNTIFS($F$2:$F$46,L40,$Q$2:$Q$46,"Cursada aprobada")&gt;0)),OR(M40="",COUNTIF($F$2:$F$46,M40)=0,COUNTIFS($F$2:$F$46,M40,$Q$2:$Q$46,"Aprobada")&gt;0,AND(Resumen!$B$15="La cursada aprobada",COUNTIFS($F$2:$F$46,M40,$Q$2:$Q$46,"Cursada aprobada")&gt;0)),OR(N40="",COUNTIF($F$2:$F$46,N40)=0,COUNTIFS($F$2:$F$46,N40,$Q$2:$Q$46,"Aprobada")&gt;0,AND(Resumen!$B$15="La cursada aprobada",COUNTIFS($F$2:$F$46,N40,$Q$2:$Q$46,"Cursada aprobada")&gt;0)),OR(O40="",COUNTIF($F$2:$F$46,O40)=0,COUNTIFS($F$2:$F$46,O40,$Q$2:$Q$46,"Aprobada")&gt;0,AND(Resumen!$B$15="La cursada aprobada",COUNTIFS($F$2:$F$46,O40,$Q$2:$Q$46,"Cursada aprobada")&gt;0)),OR(P40="",COUNTIF($F$2:$F$46,P40)=0,COUNTIFS($F$2:$F$46,P40,$Q$2:$Q$46,"Aprobada")&gt;0,AND(Resumen!$B$15="La cursada aprobada",COUNTIFS($F$2:$F$46,P40,$Q$2:$Q$46,"Cursada aprobada")&gt;0))),"Sí","No")))</f>
        <v>No</v>
      </c>
      <c r="S40" s="8" t="str">
        <f aca="false">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</f>
        <v>435 437 441 442</v>
      </c>
      <c r="T40" s="9" t="str">
        <f aca="false">IF(Q40="Cursada aprobada",IF(AND(OR(L40="",COUNTIF($F$2:$F$46,L40)=0,COUNTIFS($F$2:$F$46,L40,$Q$2:$Q$46,"Aprobada")&gt;0),OR(M40="",COUNTIF($F$2:$F$46,M40)=0,COUNTIFS($F$2:$F$46,M40,$Q$2:$Q$46,"Aprobada")&gt;0),OR(N40="",COUNTIF($F$2:$F$46,N40)=0,COUNTIFS($F$2:$F$46,N40,$Q$2:$Q$46,"Aprobada")&gt;0),OR(O40="",COUNTIF($F$2:$F$46,O40)=0,COUNTIFS($F$2:$F$46,O40,$Q$2:$Q$46,"Aprobada")&gt;0),OR(P40="",COUNTIF($F$2:$F$46,P40)=0,COUNTIFS($F$2:$F$46,P40,$Q$2:$Q$46,"Aprobada")&gt;0)),"Sí","No"),"")</f>
        <v/>
      </c>
      <c r="U40" s="9" t="str">
        <f aca="false">IF(Q40="Aprobada",TRIM(IF(NOT(OR(L40="",COUNTIF($F$2:$F$46,L40)=0,COUNTIFS($F$2:$F$46,L40,$Q$2:$Q$46,"Aprobada")&gt;0)),L40&amp;" ","")&amp;IF(NOT(OR(M40="",COUNTIF($F$2:$F$46,M40)=0,COUNTIFS($F$2:$F$46,M40,$Q$2:$Q$46,"Aprobada")&gt;0)),M40&amp;" ","")&amp;IF(NOT(OR(N40="",COUNTIF($F$2:$F$46,N40)=0,COUNTIFS($F$2:$F$46,N40,$Q$2:$Q$46,"Aprobada")&gt;0)),N40&amp;" ","")&amp;IF(NOT(OR(O40="",COUNTIF($F$2:$F$46,O40)=0,COUNTIFS($F$2:$F$46,O40,$Q$2:$Q$46,"Aprobada")&gt;0)),O40&amp;" ","")&amp;IF(NOT(OR(P40="",COUNTIF($F$2:$F$46,P40)=0,COUNTIFS($F$2:$F$46,P40,$Q$2:$Q$46,"Aprobada")&gt;0)),P40&amp;" ","")),IF(Q40="Cursada aprobada",TRIM(IF(NOT(OR(L40="",COUNTIF($F$2:$F$46,L40)=0,COUNTIFS($F$2:$F$46,L40,$Q$2:$Q$46,"Aprobada")&gt;0,AND(Resumen!$B$15="La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","")),""))</f>
        <v/>
      </c>
    </row>
    <row r="41" customFormat="false" ht="15" hidden="false" customHeight="false" outlineLevel="0" collapsed="false">
      <c r="A41" s="8" t="s">
        <v>116</v>
      </c>
      <c r="B41" s="8"/>
      <c r="C41" s="9"/>
      <c r="D41" s="9"/>
      <c r="E41" s="9" t="s">
        <v>99</v>
      </c>
      <c r="F41" s="9" t="n">
        <v>595</v>
      </c>
      <c r="G41" s="8" t="s">
        <v>117</v>
      </c>
      <c r="H41" s="9"/>
      <c r="I41" s="9"/>
      <c r="J41" s="9"/>
      <c r="K41" s="9"/>
      <c r="L41" s="9"/>
      <c r="M41" s="9"/>
      <c r="N41" s="9"/>
      <c r="O41" s="9"/>
      <c r="P41" s="9"/>
      <c r="Q41" s="10" t="s">
        <v>62</v>
      </c>
      <c r="R41" s="9" t="str">
        <f aca="false">IF(Q41="Aprobada","Ya aprobada",IF(Q41="Cursada aprobada","Ya cursada",IF(AND(OR(L41="",COUNTIF($F$2:$F$46,L41)=0,COUNTIFS($F$2:$F$46,L41,$Q$2:$Q$46,"Aprobada")&gt;0,AND(Resumen!$B$15="La cursada aprobada",COUNTIFS($F$2:$F$46,L41,$Q$2:$Q$46,"Cursada aprobada")&gt;0)),OR(M41="",COUNTIF($F$2:$F$46,M41)=0,COUNTIFS($F$2:$F$46,M41,$Q$2:$Q$46,"Aprobada")&gt;0,AND(Resumen!$B$15="La cursada aprobada",COUNTIFS($F$2:$F$46,M41,$Q$2:$Q$46,"Cursada aprobada")&gt;0)),OR(N41="",COUNTIF($F$2:$F$46,N41)=0,COUNTIFS($F$2:$F$46,N41,$Q$2:$Q$46,"Aprobada")&gt;0,AND(Resumen!$B$15="La cursada aprobada",COUNTIFS($F$2:$F$46,N41,$Q$2:$Q$46,"Cursada aprobada")&gt;0)),OR(O41="",COUNTIF($F$2:$F$46,O41)=0,COUNTIFS($F$2:$F$46,O41,$Q$2:$Q$46,"Aprobada")&gt;0,AND(Resumen!$B$15="La cursada aprobada",COUNTIFS($F$2:$F$46,O41,$Q$2:$Q$46,"Cursada aprobada")&gt;0)),OR(P41="",COUNTIF($F$2:$F$46,P41)=0,COUNTIFS($F$2:$F$46,P41,$Q$2:$Q$46,"Aprobada")&gt;0,AND(Resumen!$B$15="La cursada aprobada",COUNTIFS($F$2:$F$46,P41,$Q$2:$Q$46,"Cursada aprobada")&gt;0))),"Sí","No")))</f>
        <v>Sí</v>
      </c>
      <c r="S41" s="8" t="str">
        <f aca="false">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</f>
        <v/>
      </c>
      <c r="T41" s="9" t="str">
        <f aca="false">IF(Q41="Cursada aprobada",IF(AND(OR(L41="",COUNTIF($F$2:$F$46,L41)=0,COUNTIFS($F$2:$F$46,L41,$Q$2:$Q$46,"Aprobada")&gt;0),OR(M41="",COUNTIF($F$2:$F$46,M41)=0,COUNTIFS($F$2:$F$46,M41,$Q$2:$Q$46,"Aprobada")&gt;0),OR(N41="",COUNTIF($F$2:$F$46,N41)=0,COUNTIFS($F$2:$F$46,N41,$Q$2:$Q$46,"Aprobada")&gt;0),OR(O41="",COUNTIF($F$2:$F$46,O41)=0,COUNTIFS($F$2:$F$46,O41,$Q$2:$Q$46,"Aprobada")&gt;0),OR(P41="",COUNTIF($F$2:$F$46,P41)=0,COUNTIFS($F$2:$F$46,P41,$Q$2:$Q$46,"Aprobada")&gt;0)),"Sí","No"),"")</f>
        <v/>
      </c>
      <c r="U41" s="9" t="str">
        <f aca="false">IF(Q41="Aprobada",TRIM(IF(NOT(OR(L41="",COUNTIF($F$2:$F$46,L41)=0,COUNTIFS($F$2:$F$46,L41,$Q$2:$Q$46,"Aprobada")&gt;0)),L41&amp;" ","")&amp;IF(NOT(OR(M41="",COUNTIF($F$2:$F$46,M41)=0,COUNTIFS($F$2:$F$46,M41,$Q$2:$Q$46,"Aprobada")&gt;0)),M41&amp;" ","")&amp;IF(NOT(OR(N41="",COUNTIF($F$2:$F$46,N41)=0,COUNTIFS($F$2:$F$46,N41,$Q$2:$Q$46,"Aprobada")&gt;0)),N41&amp;" ","")&amp;IF(NOT(OR(O41="",COUNTIF($F$2:$F$46,O41)=0,COUNTIFS($F$2:$F$46,O41,$Q$2:$Q$46,"Aprobada")&gt;0)),O41&amp;" ","")&amp;IF(NOT(OR(P41="",COUNTIF($F$2:$F$46,P41)=0,COUNTIFS($F$2:$F$46,P41,$Q$2:$Q$46,"Aprobada")&gt;0)),P41&amp;" ","")),IF(Q41="Cursada aprobada",TRIM(IF(NOT(OR(L41="",COUNTIF($F$2:$F$46,L41)=0,COUNTIFS($F$2:$F$46,L41,$Q$2:$Q$46,"Aprobada")&gt;0,AND(Resumen!$B$15="La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","")),""))</f>
        <v/>
      </c>
    </row>
    <row r="42" customFormat="false" ht="15" hidden="false" customHeight="false" outlineLevel="0" collapsed="false">
      <c r="A42" s="8" t="s">
        <v>116</v>
      </c>
      <c r="B42" s="8"/>
      <c r="C42" s="9"/>
      <c r="D42" s="9"/>
      <c r="E42" s="9" t="s">
        <v>63</v>
      </c>
      <c r="F42" s="9" t="n">
        <v>300</v>
      </c>
      <c r="G42" s="8" t="s">
        <v>118</v>
      </c>
      <c r="H42" s="9"/>
      <c r="I42" s="9"/>
      <c r="J42" s="9"/>
      <c r="K42" s="9"/>
      <c r="L42" s="9"/>
      <c r="M42" s="9"/>
      <c r="N42" s="9"/>
      <c r="O42" s="9"/>
      <c r="P42" s="9"/>
      <c r="Q42" s="10" t="s">
        <v>62</v>
      </c>
      <c r="R42" s="9" t="str">
        <f aca="false">IF(Q42="Aprobada","Ya aprobada",IF(Q42="Cursada aprobada","Ya cursada",IF(AND(OR(L42="",COUNTIF($F$2:$F$46,L42)=0,COUNTIFS($F$2:$F$46,L42,$Q$2:$Q$46,"Aprobada")&gt;0,AND(Resumen!$B$15="La cursada aprobada",COUNTIFS($F$2:$F$46,L42,$Q$2:$Q$46,"Cursada aprobada")&gt;0)),OR(M42="",COUNTIF($F$2:$F$46,M42)=0,COUNTIFS($F$2:$F$46,M42,$Q$2:$Q$46,"Aprobada")&gt;0,AND(Resumen!$B$15="La cursada aprobada",COUNTIFS($F$2:$F$46,M42,$Q$2:$Q$46,"Cursada aprobada")&gt;0)),OR(N42="",COUNTIF($F$2:$F$46,N42)=0,COUNTIFS($F$2:$F$46,N42,$Q$2:$Q$46,"Aprobada")&gt;0,AND(Resumen!$B$15="La cursada aprobada",COUNTIFS($F$2:$F$46,N42,$Q$2:$Q$46,"Cursada aprobada")&gt;0)),OR(O42="",COUNTIF($F$2:$F$46,O42)=0,COUNTIFS($F$2:$F$46,O42,$Q$2:$Q$46,"Aprobada")&gt;0,AND(Resumen!$B$15="La cursada aprobada",COUNTIFS($F$2:$F$46,O42,$Q$2:$Q$46,"Cursada aprobada")&gt;0)),OR(P42="",COUNTIF($F$2:$F$46,P42)=0,COUNTIFS($F$2:$F$46,P42,$Q$2:$Q$46,"Aprobada")&gt;0,AND(Resumen!$B$15="La cursada aprobada",COUNTIFS($F$2:$F$46,P42,$Q$2:$Q$46,"Cursada aprobada")&gt;0))),"Sí","No")))</f>
        <v>Sí</v>
      </c>
      <c r="S42" s="8" t="str">
        <f aca="false">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</f>
        <v/>
      </c>
      <c r="T42" s="9" t="str">
        <f aca="false">IF(Q42="Cursada aprobada",IF(AND(OR(L42="",COUNTIF($F$2:$F$46,L42)=0,COUNTIFS($F$2:$F$46,L42,$Q$2:$Q$46,"Aprobada")&gt;0),OR(M42="",COUNTIF($F$2:$F$46,M42)=0,COUNTIFS($F$2:$F$46,M42,$Q$2:$Q$46,"Aprobada")&gt;0),OR(N42="",COUNTIF($F$2:$F$46,N42)=0,COUNTIFS($F$2:$F$46,N42,$Q$2:$Q$46,"Aprobada")&gt;0),OR(O42="",COUNTIF($F$2:$F$46,O42)=0,COUNTIFS($F$2:$F$46,O42,$Q$2:$Q$46,"Aprobada")&gt;0),OR(P42="",COUNTIF($F$2:$F$46,P42)=0,COUNTIFS($F$2:$F$46,P42,$Q$2:$Q$46,"Aprobada")&gt;0)),"Sí","No"),"")</f>
        <v/>
      </c>
      <c r="U42" s="9" t="str">
        <f aca="false">IF(Q42="Aprobada",TRIM(IF(NOT(OR(L42="",COUNTIF($F$2:$F$46,L42)=0,COUNTIFS($F$2:$F$46,L42,$Q$2:$Q$46,"Aprobada")&gt;0)),L42&amp;" ","")&amp;IF(NOT(OR(M42="",COUNTIF($F$2:$F$46,M42)=0,COUNTIFS($F$2:$F$46,M42,$Q$2:$Q$46,"Aprobada")&gt;0)),M42&amp;" ","")&amp;IF(NOT(OR(N42="",COUNTIF($F$2:$F$46,N42)=0,COUNTIFS($F$2:$F$46,N42,$Q$2:$Q$46,"Aprobada")&gt;0)),N42&amp;" ","")&amp;IF(NOT(OR(O42="",COUNTIF($F$2:$F$46,O42)=0,COUNTIFS($F$2:$F$46,O42,$Q$2:$Q$46,"Aprobada")&gt;0)),O42&amp;" ","")&amp;IF(NOT(OR(P42="",COUNTIF($F$2:$F$46,P42)=0,COUNTIFS($F$2:$F$46,P42,$Q$2:$Q$46,"Aprobada")&gt;0)),P42&amp;" ","")),IF(Q42="Cursada aprobada",TRIM(IF(NOT(OR(L42="",COUNTIF($F$2:$F$46,L42)=0,COUNTIFS($F$2:$F$46,L42,$Q$2:$Q$46,"Aprobada")&gt;0,AND(Resumen!$B$15="La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","")),""))</f>
        <v/>
      </c>
    </row>
    <row r="43" customFormat="false" ht="15" hidden="false" customHeight="false" outlineLevel="0" collapsed="false">
      <c r="A43" s="8" t="s">
        <v>116</v>
      </c>
      <c r="B43" s="8"/>
      <c r="C43" s="9"/>
      <c r="D43" s="9"/>
      <c r="E43" s="9" t="s">
        <v>99</v>
      </c>
      <c r="F43" s="9" t="n">
        <v>285</v>
      </c>
      <c r="G43" s="8" t="s">
        <v>119</v>
      </c>
      <c r="H43" s="9"/>
      <c r="I43" s="9"/>
      <c r="J43" s="9"/>
      <c r="K43" s="9"/>
      <c r="L43" s="9"/>
      <c r="M43" s="9"/>
      <c r="N43" s="9"/>
      <c r="O43" s="9"/>
      <c r="P43" s="9"/>
      <c r="Q43" s="10" t="s">
        <v>62</v>
      </c>
      <c r="R43" s="9" t="str">
        <f aca="false">IF(Q43="Aprobada","Ya aprobada",IF(Q43="Cursada aprobada","Ya cursada",IF(AND(OR(L43="",COUNTIF($F$2:$F$46,L43)=0,COUNTIFS($F$2:$F$46,L43,$Q$2:$Q$46,"Aprobada")&gt;0,AND(Resumen!$B$15="La cursada aprobada",COUNTIFS($F$2:$F$46,L43,$Q$2:$Q$46,"Cursada aprobada")&gt;0)),OR(M43="",COUNTIF($F$2:$F$46,M43)=0,COUNTIFS($F$2:$F$46,M43,$Q$2:$Q$46,"Aprobada")&gt;0,AND(Resumen!$B$15="La cursada aprobada",COUNTIFS($F$2:$F$46,M43,$Q$2:$Q$46,"Cursada aprobada")&gt;0)),OR(N43="",COUNTIF($F$2:$F$46,N43)=0,COUNTIFS($F$2:$F$46,N43,$Q$2:$Q$46,"Aprobada")&gt;0,AND(Resumen!$B$15="La cursada aprobada",COUNTIFS($F$2:$F$46,N43,$Q$2:$Q$46,"Cursada aprobada")&gt;0)),OR(O43="",COUNTIF($F$2:$F$46,O43)=0,COUNTIFS($F$2:$F$46,O43,$Q$2:$Q$46,"Aprobada")&gt;0,AND(Resumen!$B$15="La cursada aprobada",COUNTIFS($F$2:$F$46,O43,$Q$2:$Q$46,"Cursada aprobada")&gt;0)),OR(P43="",COUNTIF($F$2:$F$46,P43)=0,COUNTIFS($F$2:$F$46,P43,$Q$2:$Q$46,"Aprobada")&gt;0,AND(Resumen!$B$15="La cursada aprobada",COUNTIFS($F$2:$F$46,P43,$Q$2:$Q$46,"Cursada aprobada")&gt;0))),"Sí","No")))</f>
        <v>Sí</v>
      </c>
      <c r="S43" s="8" t="str">
        <f aca="false">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</f>
        <v/>
      </c>
      <c r="T43" s="9" t="str">
        <f aca="false">IF(Q43="Cursada aprobada",IF(AND(OR(L43="",COUNTIF($F$2:$F$46,L43)=0,COUNTIFS($F$2:$F$46,L43,$Q$2:$Q$46,"Aprobada")&gt;0),OR(M43="",COUNTIF($F$2:$F$46,M43)=0,COUNTIFS($F$2:$F$46,M43,$Q$2:$Q$46,"Aprobada")&gt;0),OR(N43="",COUNTIF($F$2:$F$46,N43)=0,COUNTIFS($F$2:$F$46,N43,$Q$2:$Q$46,"Aprobada")&gt;0),OR(O43="",COUNTIF($F$2:$F$46,O43)=0,COUNTIFS($F$2:$F$46,O43,$Q$2:$Q$46,"Aprobada")&gt;0),OR(P43="",COUNTIF($F$2:$F$46,P43)=0,COUNTIFS($F$2:$F$46,P43,$Q$2:$Q$46,"Aprobada")&gt;0)),"Sí","No"),"")</f>
        <v/>
      </c>
      <c r="U43" s="9" t="str">
        <f aca="false">IF(Q43="Aprobada",TRIM(IF(NOT(OR(L43="",COUNTIF($F$2:$F$46,L43)=0,COUNTIFS($F$2:$F$46,L43,$Q$2:$Q$46,"Aprobada")&gt;0)),L43&amp;" ","")&amp;IF(NOT(OR(M43="",COUNTIF($F$2:$F$46,M43)=0,COUNTIFS($F$2:$F$46,M43,$Q$2:$Q$46,"Aprobada")&gt;0)),M43&amp;" ","")&amp;IF(NOT(OR(N43="",COUNTIF($F$2:$F$46,N43)=0,COUNTIFS($F$2:$F$46,N43,$Q$2:$Q$46,"Aprobada")&gt;0)),N43&amp;" ","")&amp;IF(NOT(OR(O43="",COUNTIF($F$2:$F$46,O43)=0,COUNTIFS($F$2:$F$46,O43,$Q$2:$Q$46,"Aprobada")&gt;0)),O43&amp;" ","")&amp;IF(NOT(OR(P43="",COUNTIF($F$2:$F$46,P43)=0,COUNTIFS($F$2:$F$46,P43,$Q$2:$Q$46,"Aprobada")&gt;0)),P43&amp;" ","")),IF(Q43="Cursada aprobada",TRIM(IF(NOT(OR(L43="",COUNTIF($F$2:$F$46,L43)=0,COUNTIFS($F$2:$F$46,L43,$Q$2:$Q$46,"Aprobada")&gt;0,AND(Resumen!$B$15="La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","")),""))</f>
        <v/>
      </c>
    </row>
    <row r="44" customFormat="false" ht="15" hidden="false" customHeight="false" outlineLevel="0" collapsed="false">
      <c r="A44" s="8" t="s">
        <v>116</v>
      </c>
      <c r="B44" s="8"/>
      <c r="C44" s="9"/>
      <c r="D44" s="9"/>
      <c r="E44" s="9" t="s">
        <v>120</v>
      </c>
      <c r="F44" s="9" t="n">
        <v>296</v>
      </c>
      <c r="G44" s="8" t="s">
        <v>121</v>
      </c>
      <c r="H44" s="9"/>
      <c r="I44" s="9"/>
      <c r="J44" s="9"/>
      <c r="K44" s="9"/>
      <c r="L44" s="9"/>
      <c r="M44" s="9"/>
      <c r="N44" s="9"/>
      <c r="O44" s="9"/>
      <c r="P44" s="9"/>
      <c r="Q44" s="10" t="s">
        <v>62</v>
      </c>
      <c r="R44" s="9" t="str">
        <f aca="false">IF(Q44="Aprobada","Ya aprobada",IF(Q44="Cursada aprobada","Ya cursada",IF(AND(OR(L44="",COUNTIF($F$2:$F$46,L44)=0,COUNTIFS($F$2:$F$46,L44,$Q$2:$Q$46,"Aprobada")&gt;0,AND(Resumen!$B$15="La cursada aprobada",COUNTIFS($F$2:$F$46,L44,$Q$2:$Q$46,"Cursada aprobada")&gt;0)),OR(M44="",COUNTIF($F$2:$F$46,M44)=0,COUNTIFS($F$2:$F$46,M44,$Q$2:$Q$46,"Aprobada")&gt;0,AND(Resumen!$B$15="La cursada aprobada",COUNTIFS($F$2:$F$46,M44,$Q$2:$Q$46,"Cursada aprobada")&gt;0)),OR(N44="",COUNTIF($F$2:$F$46,N44)=0,COUNTIFS($F$2:$F$46,N44,$Q$2:$Q$46,"Aprobada")&gt;0,AND(Resumen!$B$15="La cursada aprobada",COUNTIFS($F$2:$F$46,N44,$Q$2:$Q$46,"Cursada aprobada")&gt;0)),OR(O44="",COUNTIF($F$2:$F$46,O44)=0,COUNTIFS($F$2:$F$46,O44,$Q$2:$Q$46,"Aprobada")&gt;0,AND(Resumen!$B$15="La cursada aprobada",COUNTIFS($F$2:$F$46,O44,$Q$2:$Q$46,"Cursada aprobada")&gt;0)),OR(P44="",COUNTIF($F$2:$F$46,P44)=0,COUNTIFS($F$2:$F$46,P44,$Q$2:$Q$46,"Aprobada")&gt;0,AND(Resumen!$B$15="La cursada aprobada",COUNTIFS($F$2:$F$46,P44,$Q$2:$Q$46,"Cursada aprobada")&gt;0))),"Sí","No")))</f>
        <v>Sí</v>
      </c>
      <c r="S44" s="8" t="str">
        <f aca="false">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</f>
        <v/>
      </c>
      <c r="T44" s="9" t="str">
        <f aca="false">IF(Q44="Cursada aprobada",IF(AND(OR(L44="",COUNTIF($F$2:$F$46,L44)=0,COUNTIFS($F$2:$F$46,L44,$Q$2:$Q$46,"Aprobada")&gt;0),OR(M44="",COUNTIF($F$2:$F$46,M44)=0,COUNTIFS($F$2:$F$46,M44,$Q$2:$Q$46,"Aprobada")&gt;0),OR(N44="",COUNTIF($F$2:$F$46,N44)=0,COUNTIFS($F$2:$F$46,N44,$Q$2:$Q$46,"Aprobada")&gt;0),OR(O44="",COUNTIF($F$2:$F$46,O44)=0,COUNTIFS($F$2:$F$46,O44,$Q$2:$Q$46,"Aprobada")&gt;0),OR(P44="",COUNTIF($F$2:$F$46,P44)=0,COUNTIFS($F$2:$F$46,P44,$Q$2:$Q$46,"Aprobada")&gt;0)),"Sí","No"),"")</f>
        <v/>
      </c>
      <c r="U44" s="9" t="str">
        <f aca="false">IF(Q44="Aprobada",TRIM(IF(NOT(OR(L44="",COUNTIF($F$2:$F$46,L44)=0,COUNTIFS($F$2:$F$46,L44,$Q$2:$Q$46,"Aprobada")&gt;0)),L44&amp;" ","")&amp;IF(NOT(OR(M44="",COUNTIF($F$2:$F$46,M44)=0,COUNTIFS($F$2:$F$46,M44,$Q$2:$Q$46,"Aprobada")&gt;0)),M44&amp;" ","")&amp;IF(NOT(OR(N44="",COUNTIF($F$2:$F$46,N44)=0,COUNTIFS($F$2:$F$46,N44,$Q$2:$Q$46,"Aprobada")&gt;0)),N44&amp;" ","")&amp;IF(NOT(OR(O44="",COUNTIF($F$2:$F$46,O44)=0,COUNTIFS($F$2:$F$46,O44,$Q$2:$Q$46,"Aprobada")&gt;0)),O44&amp;" ","")&amp;IF(NOT(OR(P44="",COUNTIF($F$2:$F$46,P44)=0,COUNTIFS($F$2:$F$46,P44,$Q$2:$Q$46,"Aprobada")&gt;0)),P44&amp;" ","")),IF(Q44="Cursada aprobada",TRIM(IF(NOT(OR(L44="",COUNTIF($F$2:$F$46,L44)=0,COUNTIFS($F$2:$F$46,L44,$Q$2:$Q$46,"Aprobada")&gt;0,AND(Resumen!$B$15="La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","")),""))</f>
        <v/>
      </c>
    </row>
    <row r="45" customFormat="false" ht="15" hidden="false" customHeight="false" outlineLevel="0" collapsed="false">
      <c r="A45" s="8" t="s">
        <v>116</v>
      </c>
      <c r="B45" s="8"/>
      <c r="C45" s="9"/>
      <c r="D45" s="9"/>
      <c r="E45" s="9" t="s">
        <v>122</v>
      </c>
      <c r="F45" s="9" t="n">
        <v>367</v>
      </c>
      <c r="G45" s="8" t="s">
        <v>123</v>
      </c>
      <c r="H45" s="9"/>
      <c r="I45" s="9"/>
      <c r="J45" s="9"/>
      <c r="K45" s="9"/>
      <c r="L45" s="9"/>
      <c r="M45" s="9"/>
      <c r="N45" s="9"/>
      <c r="O45" s="9"/>
      <c r="P45" s="9"/>
      <c r="Q45" s="10" t="s">
        <v>62</v>
      </c>
      <c r="R45" s="9" t="str">
        <f aca="false">IF(Q45="Aprobada","Ya aprobada",IF(Q45="Cursada aprobada","Ya cursada",IF(AND(OR(L45="",COUNTIF($F$2:$F$46,L45)=0,COUNTIFS($F$2:$F$46,L45,$Q$2:$Q$46,"Aprobada")&gt;0,AND(Resumen!$B$15="La cursada aprobada",COUNTIFS($F$2:$F$46,L45,$Q$2:$Q$46,"Cursada aprobada")&gt;0)),OR(M45="",COUNTIF($F$2:$F$46,M45)=0,COUNTIFS($F$2:$F$46,M45,$Q$2:$Q$46,"Aprobada")&gt;0,AND(Resumen!$B$15="La cursada aprobada",COUNTIFS($F$2:$F$46,M45,$Q$2:$Q$46,"Cursada aprobada")&gt;0)),OR(N45="",COUNTIF($F$2:$F$46,N45)=0,COUNTIFS($F$2:$F$46,N45,$Q$2:$Q$46,"Aprobada")&gt;0,AND(Resumen!$B$15="La cursada aprobada",COUNTIFS($F$2:$F$46,N45,$Q$2:$Q$46,"Cursada aprobada")&gt;0)),OR(O45="",COUNTIF($F$2:$F$46,O45)=0,COUNTIFS($F$2:$F$46,O45,$Q$2:$Q$46,"Aprobada")&gt;0,AND(Resumen!$B$15="La cursada aprobada",COUNTIFS($F$2:$F$46,O45,$Q$2:$Q$46,"Cursada aprobada")&gt;0)),OR(P45="",COUNTIF($F$2:$F$46,P45)=0,COUNTIFS($F$2:$F$46,P45,$Q$2:$Q$46,"Aprobada")&gt;0,AND(Resumen!$B$15="La cursada aprobada",COUNTIFS($F$2:$F$46,P45,$Q$2:$Q$46,"Cursada aprobada")&gt;0))),"Sí","No")))</f>
        <v>Sí</v>
      </c>
      <c r="S45" s="8" t="str">
        <f aca="false">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</f>
        <v/>
      </c>
      <c r="T45" s="9" t="str">
        <f aca="false">IF(Q45="Cursada aprobada",IF(AND(OR(L45="",COUNTIF($F$2:$F$46,L45)=0,COUNTIFS($F$2:$F$46,L45,$Q$2:$Q$46,"Aprobada")&gt;0),OR(M45="",COUNTIF($F$2:$F$46,M45)=0,COUNTIFS($F$2:$F$46,M45,$Q$2:$Q$46,"Aprobada")&gt;0),OR(N45="",COUNTIF($F$2:$F$46,N45)=0,COUNTIFS($F$2:$F$46,N45,$Q$2:$Q$46,"Aprobada")&gt;0),OR(O45="",COUNTIF($F$2:$F$46,O45)=0,COUNTIFS($F$2:$F$46,O45,$Q$2:$Q$46,"Aprobada")&gt;0),OR(P45="",COUNTIF($F$2:$F$46,P45)=0,COUNTIFS($F$2:$F$46,P45,$Q$2:$Q$46,"Aprobada")&gt;0)),"Sí","No"),"")</f>
        <v/>
      </c>
      <c r="U45" s="9" t="str">
        <f aca="false">IF(Q45="Aprobada",TRIM(IF(NOT(OR(L45="",COUNTIF($F$2:$F$46,L45)=0,COUNTIFS($F$2:$F$46,L45,$Q$2:$Q$46,"Aprobada")&gt;0)),L45&amp;" ","")&amp;IF(NOT(OR(M45="",COUNTIF($F$2:$F$46,M45)=0,COUNTIFS($F$2:$F$46,M45,$Q$2:$Q$46,"Aprobada")&gt;0)),M45&amp;" ","")&amp;IF(NOT(OR(N45="",COUNTIF($F$2:$F$46,N45)=0,COUNTIFS($F$2:$F$46,N45,$Q$2:$Q$46,"Aprobada")&gt;0)),N45&amp;" ","")&amp;IF(NOT(OR(O45="",COUNTIF($F$2:$F$46,O45)=0,COUNTIFS($F$2:$F$46,O45,$Q$2:$Q$46,"Aprobada")&gt;0)),O45&amp;" ","")&amp;IF(NOT(OR(P45="",COUNTIF($F$2:$F$46,P45)=0,COUNTIFS($F$2:$F$46,P45,$Q$2:$Q$46,"Aprobada")&gt;0)),P45&amp;" ","")),IF(Q45="Cursada aprobada",TRIM(IF(NOT(OR(L45="",COUNTIF($F$2:$F$46,L45)=0,COUNTIFS($F$2:$F$46,L45,$Q$2:$Q$46,"Aprobada")&gt;0,AND(Resumen!$B$15="La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","")),""))</f>
        <v/>
      </c>
    </row>
    <row r="46" customFormat="false" ht="15" hidden="false" customHeight="false" outlineLevel="0" collapsed="false">
      <c r="A46" s="8" t="s">
        <v>116</v>
      </c>
      <c r="B46" s="8"/>
      <c r="C46" s="9"/>
      <c r="D46" s="9"/>
      <c r="E46" s="9" t="s">
        <v>99</v>
      </c>
      <c r="F46" s="9" t="n">
        <v>286</v>
      </c>
      <c r="G46" s="8" t="s">
        <v>148</v>
      </c>
      <c r="H46" s="9"/>
      <c r="I46" s="9"/>
      <c r="J46" s="9"/>
      <c r="K46" s="9"/>
      <c r="L46" s="9"/>
      <c r="M46" s="9"/>
      <c r="N46" s="9"/>
      <c r="O46" s="9"/>
      <c r="P46" s="9"/>
      <c r="Q46" s="10" t="s">
        <v>62</v>
      </c>
      <c r="R46" s="9" t="str">
        <f aca="false">IF(Q46="Aprobada","Ya aprobada",IF(Q46="Cursada aprobada","Ya cursada",IF(AND(OR(L46="",COUNTIF($F$2:$F$46,L46)=0,COUNTIFS($F$2:$F$46,L46,$Q$2:$Q$46,"Aprobada")&gt;0,AND(Resumen!$B$15="La cursada aprobada",COUNTIFS($F$2:$F$46,L46,$Q$2:$Q$46,"Cursada aprobada")&gt;0)),OR(M46="",COUNTIF($F$2:$F$46,M46)=0,COUNTIFS($F$2:$F$46,M46,$Q$2:$Q$46,"Aprobada")&gt;0,AND(Resumen!$B$15="La cursada aprobada",COUNTIFS($F$2:$F$46,M46,$Q$2:$Q$46,"Cursada aprobada")&gt;0)),OR(N46="",COUNTIF($F$2:$F$46,N46)=0,COUNTIFS($F$2:$F$46,N46,$Q$2:$Q$46,"Aprobada")&gt;0,AND(Resumen!$B$15="La cursada aprobada",COUNTIFS($F$2:$F$46,N46,$Q$2:$Q$46,"Cursada aprobada")&gt;0)),OR(O46="",COUNTIF($F$2:$F$46,O46)=0,COUNTIFS($F$2:$F$46,O46,$Q$2:$Q$46,"Aprobada")&gt;0,AND(Resumen!$B$15="La cursada aprobada",COUNTIFS($F$2:$F$46,O46,$Q$2:$Q$46,"Cursada aprobada")&gt;0)),OR(P46="",COUNTIF($F$2:$F$46,P46)=0,COUNTIFS($F$2:$F$46,P46,$Q$2:$Q$46,"Aprobada")&gt;0,AND(Resumen!$B$15="La cursada aprobada",COUNTIFS($F$2:$F$46,P46,$Q$2:$Q$46,"Cursada aprobada")&gt;0))),"Sí","No")))</f>
        <v>Sí</v>
      </c>
      <c r="S46" s="8" t="str">
        <f aca="false">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</f>
        <v/>
      </c>
      <c r="T46" s="9" t="str">
        <f aca="false">IF(Q46="Cursada aprobada",IF(AND(OR(L46="",COUNTIF($F$2:$F$46,L46)=0,COUNTIFS($F$2:$F$46,L46,$Q$2:$Q$46,"Aprobada")&gt;0),OR(M46="",COUNTIF($F$2:$F$46,M46)=0,COUNTIFS($F$2:$F$46,M46,$Q$2:$Q$46,"Aprobada")&gt;0),OR(N46="",COUNTIF($F$2:$F$46,N46)=0,COUNTIFS($F$2:$F$46,N46,$Q$2:$Q$46,"Aprobada")&gt;0),OR(O46="",COUNTIF($F$2:$F$46,O46)=0,COUNTIFS($F$2:$F$46,O46,$Q$2:$Q$46,"Aprobada")&gt;0),OR(P46="",COUNTIF($F$2:$F$46,P46)=0,COUNTIFS($F$2:$F$46,P46,$Q$2:$Q$46,"Aprobada")&gt;0)),"Sí","No"),"")</f>
        <v/>
      </c>
      <c r="U46" s="9" t="str">
        <f aca="false">IF(Q46="Aprobada",TRIM(IF(NOT(OR(L46="",COUNTIF($F$2:$F$46,L46)=0,COUNTIFS($F$2:$F$46,L46,$Q$2:$Q$46,"Aprobada")&gt;0)),L46&amp;" ","")&amp;IF(NOT(OR(M46="",COUNTIF($F$2:$F$46,M46)=0,COUNTIFS($F$2:$F$46,M46,$Q$2:$Q$46,"Aprobada")&gt;0)),M46&amp;" ","")&amp;IF(NOT(OR(N46="",COUNTIF($F$2:$F$46,N46)=0,COUNTIFS($F$2:$F$46,N46,$Q$2:$Q$46,"Aprobada")&gt;0)),N46&amp;" ","")&amp;IF(NOT(OR(O46="",COUNTIF($F$2:$F$46,O46)=0,COUNTIFS($F$2:$F$46,O46,$Q$2:$Q$46,"Aprobada")&gt;0)),O46&amp;" ","")&amp;IF(NOT(OR(P46="",COUNTIF($F$2:$F$46,P46)=0,COUNTIFS($F$2:$F$46,P46,$Q$2:$Q$46,"Aprobada")&gt;0)),P46&amp;" ","")),IF(Q46="Cursada aprobada",TRIM(IF(NOT(OR(L46="",COUNTIF($F$2:$F$46,L46)=0,COUNTIFS($F$2:$F$46,L46,$Q$2:$Q$46,"Aprobada")&gt;0,AND(Resumen!$B$15="La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","")),""))</f>
        <v/>
      </c>
    </row>
  </sheetData>
  <autoFilter ref="A1:U46"/>
  <conditionalFormatting sqref="Q2:Q4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46">
    <cfRule type="expression" priority="4" aboveAverage="0" equalAverage="0" bottom="0" percent="0" rank="0" text="" dxfId="10">
      <formula>LEN($U2)&gt;0</formula>
    </cfRule>
  </conditionalFormatting>
  <conditionalFormatting sqref="T2:T4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4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4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58</v>
      </c>
      <c r="B2" s="8"/>
      <c r="C2" s="9" t="n">
        <v>1</v>
      </c>
      <c r="D2" s="9" t="n">
        <v>1</v>
      </c>
      <c r="E2" s="9" t="s">
        <v>59</v>
      </c>
      <c r="F2" s="9" t="n">
        <v>101</v>
      </c>
      <c r="G2" s="8" t="s">
        <v>60</v>
      </c>
      <c r="H2" s="9" t="s">
        <v>61</v>
      </c>
      <c r="I2" s="9" t="n">
        <v>6</v>
      </c>
      <c r="J2" s="9"/>
      <c r="K2" s="9" t="n">
        <v>96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cursada",IF(AND(OR(L2="",COUNTIF($F$2:$F$46,L2)=0,COUNTIFS($F$2:$F$46,L2,$Q$2:$Q$46,"Aprobada")&gt;0,AND(Resumen!$B$15="La cursada aprobada",COUNTIFS($F$2:$F$46,L2,$Q$2:$Q$46,"Cursada aprobada")&gt;0)),OR(M2="",COUNTIF($F$2:$F$46,M2)=0,COUNTIFS($F$2:$F$46,M2,$Q$2:$Q$46,"Aprobada")&gt;0,AND(Resumen!$B$15="La cursada aprobada",COUNTIFS($F$2:$F$46,M2,$Q$2:$Q$46,"Cursada aprobada")&gt;0)),OR(N2="",COUNTIF($F$2:$F$46,N2)=0,COUNTIFS($F$2:$F$46,N2,$Q$2:$Q$46,"Aprobada")&gt;0,AND(Resumen!$B$15="La cursada aprobada",COUNTIFS($F$2:$F$46,N2,$Q$2:$Q$46,"Cursada aprobada")&gt;0)),OR(O2="",COUNTIF($F$2:$F$46,O2)=0,COUNTIFS($F$2:$F$46,O2,$Q$2:$Q$46,"Aprobada")&gt;0,AND(Resumen!$B$15="La cursada aprobada",COUNTIFS($F$2:$F$46,O2,$Q$2:$Q$46,"Cursada aprobada")&gt;0)),OR(P2="",COUNTIF($F$2:$F$46,P2)=0,COUNTIFS($F$2:$F$46,P2,$Q$2:$Q$46,"Aprobada")&gt;0,AND(Resumen!$B$15="La cursada aprobada",COUNTIFS($F$2:$F$46,P2,$Q$2:$Q$46,"Cursada aprobada")&gt;0))),"Sí","No")))</f>
        <v>Sí</v>
      </c>
      <c r="S2" s="8" t="str">
        <f aca="false">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</f>
        <v/>
      </c>
      <c r="T2" s="9" t="str">
        <f aca="false">IF(Q2="Cursada aprobada",IF(AND(OR(L2="",COUNTIF($F$2:$F$46,L2)=0,COUNTIFS($F$2:$F$46,L2,$Q$2:$Q$46,"Aprobada")&gt;0),OR(M2="",COUNTIF($F$2:$F$46,M2)=0,COUNTIFS($F$2:$F$46,M2,$Q$2:$Q$46,"Aprobada")&gt;0),OR(N2="",COUNTIF($F$2:$F$46,N2)=0,COUNTIFS($F$2:$F$46,N2,$Q$2:$Q$46,"Aprobada")&gt;0),OR(O2="",COUNTIF($F$2:$F$46,O2)=0,COUNTIFS($F$2:$F$46,O2,$Q$2:$Q$46,"Aprobada")&gt;0),OR(P2="",COUNTIF($F$2:$F$46,P2)=0,COUNTIFS($F$2:$F$46,P2,$Q$2:$Q$46,"Aprobada")&gt;0)),"Sí","No"),"")</f>
        <v/>
      </c>
      <c r="U2" s="9" t="str">
        <f aca="false">IF(Q2="Aprobada",TRIM(IF(NOT(OR(L2="",COUNTIF($F$2:$F$46,L2)=0,COUNTIFS($F$2:$F$46,L2,$Q$2:$Q$46,"Aprobada")&gt;0)),L2&amp;" ","")&amp;IF(NOT(OR(M2="",COUNTIF($F$2:$F$46,M2)=0,COUNTIFS($F$2:$F$46,M2,$Q$2:$Q$46,"Aprobada")&gt;0)),M2&amp;" ","")&amp;IF(NOT(OR(N2="",COUNTIF($F$2:$F$46,N2)=0,COUNTIFS($F$2:$F$46,N2,$Q$2:$Q$46,"Aprobada")&gt;0)),N2&amp;" ","")&amp;IF(NOT(OR(O2="",COUNTIF($F$2:$F$46,O2)=0,COUNTIFS($F$2:$F$46,O2,$Q$2:$Q$46,"Aprobada")&gt;0)),O2&amp;" ","")&amp;IF(NOT(OR(P2="",COUNTIF($F$2:$F$46,P2)=0,COUNTIFS($F$2:$F$46,P2,$Q$2:$Q$46,"Aprobada")&gt;0)),P2&amp;" ","")),IF(Q2="Cursada aprobada",TRIM(IF(NOT(OR(L2="",COUNTIF($F$2:$F$46,L2)=0,COUNTIFS($F$2:$F$46,L2,$Q$2:$Q$46,"Aprobada")&gt;0,AND(Resumen!$B$15="La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","")),""))</f>
        <v/>
      </c>
    </row>
    <row r="3" customFormat="false" ht="15" hidden="false" customHeight="false" outlineLevel="0" collapsed="false">
      <c r="A3" s="8" t="s">
        <v>58</v>
      </c>
      <c r="B3" s="8"/>
      <c r="C3" s="9" t="n">
        <v>1</v>
      </c>
      <c r="D3" s="9" t="n">
        <v>1</v>
      </c>
      <c r="E3" s="9" t="s">
        <v>63</v>
      </c>
      <c r="F3" s="9" t="n">
        <v>104</v>
      </c>
      <c r="G3" s="8" t="s">
        <v>64</v>
      </c>
      <c r="H3" s="9" t="s">
        <v>61</v>
      </c>
      <c r="I3" s="9" t="n">
        <v>6</v>
      </c>
      <c r="J3" s="9"/>
      <c r="K3" s="9" t="n">
        <v>96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cursada",IF(AND(OR(L3="",COUNTIF($F$2:$F$46,L3)=0,COUNTIFS($F$2:$F$46,L3,$Q$2:$Q$46,"Aprobada")&gt;0,AND(Resumen!$B$15="La cursada aprobada",COUNTIFS($F$2:$F$46,L3,$Q$2:$Q$46,"Cursada aprobada")&gt;0)),OR(M3="",COUNTIF($F$2:$F$46,M3)=0,COUNTIFS($F$2:$F$46,M3,$Q$2:$Q$46,"Aprobada")&gt;0,AND(Resumen!$B$15="La cursada aprobada",COUNTIFS($F$2:$F$46,M3,$Q$2:$Q$46,"Cursada aprobada")&gt;0)),OR(N3="",COUNTIF($F$2:$F$46,N3)=0,COUNTIFS($F$2:$F$46,N3,$Q$2:$Q$46,"Aprobada")&gt;0,AND(Resumen!$B$15="La cursada aprobada",COUNTIFS($F$2:$F$46,N3,$Q$2:$Q$46,"Cursada aprobada")&gt;0)),OR(O3="",COUNTIF($F$2:$F$46,O3)=0,COUNTIFS($F$2:$F$46,O3,$Q$2:$Q$46,"Aprobada")&gt;0,AND(Resumen!$B$15="La cursada aprobada",COUNTIFS($F$2:$F$46,O3,$Q$2:$Q$46,"Cursada aprobada")&gt;0)),OR(P3="",COUNTIF($F$2:$F$46,P3)=0,COUNTIFS($F$2:$F$46,P3,$Q$2:$Q$46,"Aprobada")&gt;0,AND(Resumen!$B$15="La cursada aprobada",COUNTIFS($F$2:$F$46,P3,$Q$2:$Q$46,"Cursada aprobada")&gt;0))),"Sí","No")))</f>
        <v>Sí</v>
      </c>
      <c r="S3" s="8" t="str">
        <f aca="false">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</f>
        <v/>
      </c>
      <c r="T3" s="9" t="str">
        <f aca="false">IF(Q3="Cursada aprobada",IF(AND(OR(L3="",COUNTIF($F$2:$F$46,L3)=0,COUNTIFS($F$2:$F$46,L3,$Q$2:$Q$46,"Aprobada")&gt;0),OR(M3="",COUNTIF($F$2:$F$46,M3)=0,COUNTIFS($F$2:$F$46,M3,$Q$2:$Q$46,"Aprobada")&gt;0),OR(N3="",COUNTIF($F$2:$F$46,N3)=0,COUNTIFS($F$2:$F$46,N3,$Q$2:$Q$46,"Aprobada")&gt;0),OR(O3="",COUNTIF($F$2:$F$46,O3)=0,COUNTIFS($F$2:$F$46,O3,$Q$2:$Q$46,"Aprobada")&gt;0),OR(P3="",COUNTIF($F$2:$F$46,P3)=0,COUNTIFS($F$2:$F$46,P3,$Q$2:$Q$46,"Aprobada")&gt;0)),"Sí","No"),"")</f>
        <v/>
      </c>
      <c r="U3" s="9" t="str">
        <f aca="false">IF(Q3="Aprobada",TRIM(IF(NOT(OR(L3="",COUNTIF($F$2:$F$46,L3)=0,COUNTIFS($F$2:$F$46,L3,$Q$2:$Q$46,"Aprobada")&gt;0)),L3&amp;" ","")&amp;IF(NOT(OR(M3="",COUNTIF($F$2:$F$46,M3)=0,COUNTIFS($F$2:$F$46,M3,$Q$2:$Q$46,"Aprobada")&gt;0)),M3&amp;" ","")&amp;IF(NOT(OR(N3="",COUNTIF($F$2:$F$46,N3)=0,COUNTIFS($F$2:$F$46,N3,$Q$2:$Q$46,"Aprobada")&gt;0)),N3&amp;" ","")&amp;IF(NOT(OR(O3="",COUNTIF($F$2:$F$46,O3)=0,COUNTIFS($F$2:$F$46,O3,$Q$2:$Q$46,"Aprobada")&gt;0)),O3&amp;" ","")&amp;IF(NOT(OR(P3="",COUNTIF($F$2:$F$46,P3)=0,COUNTIFS($F$2:$F$46,P3,$Q$2:$Q$46,"Aprobada")&gt;0)),P3&amp;" ","")),IF(Q3="Cursada aprobada",TRIM(IF(NOT(OR(L3="",COUNTIF($F$2:$F$46,L3)=0,COUNTIFS($F$2:$F$46,L3,$Q$2:$Q$46,"Aprobada")&gt;0,AND(Resumen!$B$15="La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","")),""))</f>
        <v/>
      </c>
    </row>
    <row r="4" customFormat="false" ht="15" hidden="false" customHeight="false" outlineLevel="0" collapsed="false">
      <c r="A4" s="8" t="s">
        <v>58</v>
      </c>
      <c r="B4" s="8"/>
      <c r="C4" s="9" t="n">
        <v>1</v>
      </c>
      <c r="D4" s="9" t="n">
        <v>2</v>
      </c>
      <c r="E4" s="9" t="s">
        <v>65</v>
      </c>
      <c r="F4" s="9" t="n">
        <v>102</v>
      </c>
      <c r="G4" s="8" t="s">
        <v>66</v>
      </c>
      <c r="H4" s="9" t="s">
        <v>61</v>
      </c>
      <c r="I4" s="9" t="n">
        <v>6</v>
      </c>
      <c r="J4" s="9"/>
      <c r="K4" s="9" t="n">
        <v>96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cursada",IF(AND(OR(L4="",COUNTIF($F$2:$F$46,L4)=0,COUNTIFS($F$2:$F$46,L4,$Q$2:$Q$46,"Aprobada")&gt;0,AND(Resumen!$B$15="La cursada aprobada",COUNTIFS($F$2:$F$46,L4,$Q$2:$Q$46,"Cursada aprobada")&gt;0)),OR(M4="",COUNTIF($F$2:$F$46,M4)=0,COUNTIFS($F$2:$F$46,M4,$Q$2:$Q$46,"Aprobada")&gt;0,AND(Resumen!$B$15="La cursada aprobada",COUNTIFS($F$2:$F$46,M4,$Q$2:$Q$46,"Cursada aprobada")&gt;0)),OR(N4="",COUNTIF($F$2:$F$46,N4)=0,COUNTIFS($F$2:$F$46,N4,$Q$2:$Q$46,"Aprobada")&gt;0,AND(Resumen!$B$15="La cursada aprobada",COUNTIFS($F$2:$F$46,N4,$Q$2:$Q$46,"Cursada aprobada")&gt;0)),OR(O4="",COUNTIF($F$2:$F$46,O4)=0,COUNTIFS($F$2:$F$46,O4,$Q$2:$Q$46,"Aprobada")&gt;0,AND(Resumen!$B$15="La cursada aprobada",COUNTIFS($F$2:$F$46,O4,$Q$2:$Q$46,"Cursada aprobada")&gt;0)),OR(P4="",COUNTIF($F$2:$F$46,P4)=0,COUNTIFS($F$2:$F$46,P4,$Q$2:$Q$46,"Aprobada")&gt;0,AND(Resumen!$B$15="La cursada aprobada",COUNTIFS($F$2:$F$46,P4,$Q$2:$Q$46,"Cursada aprobada")&gt;0))),"Sí","No")))</f>
        <v>Sí</v>
      </c>
      <c r="S4" s="8" t="str">
        <f aca="false">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</f>
        <v/>
      </c>
      <c r="T4" s="9" t="str">
        <f aca="false">IF(Q4="Cursada aprobada",IF(AND(OR(L4="",COUNTIF($F$2:$F$46,L4)=0,COUNTIFS($F$2:$F$46,L4,$Q$2:$Q$46,"Aprobada")&gt;0),OR(M4="",COUNTIF($F$2:$F$46,M4)=0,COUNTIFS($F$2:$F$46,M4,$Q$2:$Q$46,"Aprobada")&gt;0),OR(N4="",COUNTIF($F$2:$F$46,N4)=0,COUNTIFS($F$2:$F$46,N4,$Q$2:$Q$46,"Aprobada")&gt;0),OR(O4="",COUNTIF($F$2:$F$46,O4)=0,COUNTIFS($F$2:$F$46,O4,$Q$2:$Q$46,"Aprobada")&gt;0),OR(P4="",COUNTIF($F$2:$F$46,P4)=0,COUNTIFS($F$2:$F$46,P4,$Q$2:$Q$46,"Aprobada")&gt;0)),"Sí","No"),"")</f>
        <v/>
      </c>
      <c r="U4" s="9" t="str">
        <f aca="false">IF(Q4="Aprobada",TRIM(IF(NOT(OR(L4="",COUNTIF($F$2:$F$46,L4)=0,COUNTIFS($F$2:$F$46,L4,$Q$2:$Q$46,"Aprobada")&gt;0)),L4&amp;" ","")&amp;IF(NOT(OR(M4="",COUNTIF($F$2:$F$46,M4)=0,COUNTIFS($F$2:$F$46,M4,$Q$2:$Q$46,"Aprobada")&gt;0)),M4&amp;" ","")&amp;IF(NOT(OR(N4="",COUNTIF($F$2:$F$46,N4)=0,COUNTIFS($F$2:$F$46,N4,$Q$2:$Q$46,"Aprobada")&gt;0)),N4&amp;" ","")&amp;IF(NOT(OR(O4="",COUNTIF($F$2:$F$46,O4)=0,COUNTIFS($F$2:$F$46,O4,$Q$2:$Q$46,"Aprobada")&gt;0)),O4&amp;" ","")&amp;IF(NOT(OR(P4="",COUNTIF($F$2:$F$46,P4)=0,COUNTIFS($F$2:$F$46,P4,$Q$2:$Q$46,"Aprobada")&gt;0)),P4&amp;" ","")),IF(Q4="Cursada aprobada",TRIM(IF(NOT(OR(L4="",COUNTIF($F$2:$F$46,L4)=0,COUNTIFS($F$2:$F$46,L4,$Q$2:$Q$46,"Aprobada")&gt;0,AND(Resumen!$B$15="La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","")),""))</f>
        <v/>
      </c>
    </row>
    <row r="5" customFormat="false" ht="15" hidden="false" customHeight="false" outlineLevel="0" collapsed="false">
      <c r="A5" s="8" t="s">
        <v>58</v>
      </c>
      <c r="B5" s="8"/>
      <c r="C5" s="9" t="n">
        <v>1</v>
      </c>
      <c r="D5" s="9" t="n">
        <v>2</v>
      </c>
      <c r="E5" s="9" t="s">
        <v>67</v>
      </c>
      <c r="F5" s="9" t="n">
        <v>103</v>
      </c>
      <c r="G5" s="8" t="s">
        <v>68</v>
      </c>
      <c r="H5" s="9" t="s">
        <v>61</v>
      </c>
      <c r="I5" s="9" t="n">
        <v>6</v>
      </c>
      <c r="J5" s="9"/>
      <c r="K5" s="9" t="n">
        <v>96</v>
      </c>
      <c r="L5" s="9"/>
      <c r="M5" s="9"/>
      <c r="N5" s="9"/>
      <c r="O5" s="9"/>
      <c r="P5" s="9"/>
      <c r="Q5" s="10" t="s">
        <v>62</v>
      </c>
      <c r="R5" s="9" t="str">
        <f aca="false">IF(Q5="Aprobada","Ya aprobada",IF(Q5="Cursada aprobada","Ya cursada",IF(AND(OR(L5="",COUNTIF($F$2:$F$46,L5)=0,COUNTIFS($F$2:$F$46,L5,$Q$2:$Q$46,"Aprobada")&gt;0,AND(Resumen!$B$15="La cursada aprobada",COUNTIFS($F$2:$F$46,L5,$Q$2:$Q$46,"Cursada aprobada")&gt;0)),OR(M5="",COUNTIF($F$2:$F$46,M5)=0,COUNTIFS($F$2:$F$46,M5,$Q$2:$Q$46,"Aprobada")&gt;0,AND(Resumen!$B$15="La cursada aprobada",COUNTIFS($F$2:$F$46,M5,$Q$2:$Q$46,"Cursada aprobada")&gt;0)),OR(N5="",COUNTIF($F$2:$F$46,N5)=0,COUNTIFS($F$2:$F$46,N5,$Q$2:$Q$46,"Aprobada")&gt;0,AND(Resumen!$B$15="La cursada aprobada",COUNTIFS($F$2:$F$46,N5,$Q$2:$Q$46,"Cursada aprobada")&gt;0)),OR(O5="",COUNTIF($F$2:$F$46,O5)=0,COUNTIFS($F$2:$F$46,O5,$Q$2:$Q$46,"Aprobada")&gt;0,AND(Resumen!$B$15="La cursada aprobada",COUNTIFS($F$2:$F$46,O5,$Q$2:$Q$46,"Cursada aprobada")&gt;0)),OR(P5="",COUNTIF($F$2:$F$46,P5)=0,COUNTIFS($F$2:$F$46,P5,$Q$2:$Q$46,"Aprobada")&gt;0,AND(Resumen!$B$15="La cursada aprobada",COUNTIFS($F$2:$F$46,P5,$Q$2:$Q$46,"Cursada aprobada")&gt;0))),"Sí","No")))</f>
        <v>Sí</v>
      </c>
      <c r="S5" s="8" t="str">
        <f aca="false">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</f>
        <v/>
      </c>
      <c r="T5" s="9" t="str">
        <f aca="false">IF(Q5="Cursada aprobada",IF(AND(OR(L5="",COUNTIF($F$2:$F$46,L5)=0,COUNTIFS($F$2:$F$46,L5,$Q$2:$Q$46,"Aprobada")&gt;0),OR(M5="",COUNTIF($F$2:$F$46,M5)=0,COUNTIFS($F$2:$F$46,M5,$Q$2:$Q$46,"Aprobada")&gt;0),OR(N5="",COUNTIF($F$2:$F$46,N5)=0,COUNTIFS($F$2:$F$46,N5,$Q$2:$Q$46,"Aprobada")&gt;0),OR(O5="",COUNTIF($F$2:$F$46,O5)=0,COUNTIFS($F$2:$F$46,O5,$Q$2:$Q$46,"Aprobada")&gt;0),OR(P5="",COUNTIF($F$2:$F$46,P5)=0,COUNTIFS($F$2:$F$46,P5,$Q$2:$Q$46,"Aprobada")&gt;0)),"Sí","No"),"")</f>
        <v/>
      </c>
      <c r="U5" s="9" t="str">
        <f aca="false">IF(Q5="Aprobada",TRIM(IF(NOT(OR(L5="",COUNTIF($F$2:$F$46,L5)=0,COUNTIFS($F$2:$F$46,L5,$Q$2:$Q$46,"Aprobada")&gt;0)),L5&amp;" ","")&amp;IF(NOT(OR(M5="",COUNTIF($F$2:$F$46,M5)=0,COUNTIFS($F$2:$F$46,M5,$Q$2:$Q$46,"Aprobada")&gt;0)),M5&amp;" ","")&amp;IF(NOT(OR(N5="",COUNTIF($F$2:$F$46,N5)=0,COUNTIFS($F$2:$F$46,N5,$Q$2:$Q$46,"Aprobada")&gt;0)),N5&amp;" ","")&amp;IF(NOT(OR(O5="",COUNTIF($F$2:$F$46,O5)=0,COUNTIFS($F$2:$F$46,O5,$Q$2:$Q$46,"Aprobada")&gt;0)),O5&amp;" ","")&amp;IF(NOT(OR(P5="",COUNTIF($F$2:$F$46,P5)=0,COUNTIFS($F$2:$F$46,P5,$Q$2:$Q$46,"Aprobada")&gt;0)),P5&amp;" ","")),IF(Q5="Cursada aprobada",TRIM(IF(NOT(OR(L5="",COUNTIF($F$2:$F$46,L5)=0,COUNTIFS($F$2:$F$46,L5,$Q$2:$Q$46,"Aprobada")&gt;0,AND(Resumen!$B$15="La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","")),""))</f>
        <v/>
      </c>
    </row>
    <row r="6" customFormat="false" ht="15" hidden="false" customHeight="false" outlineLevel="0" collapsed="false">
      <c r="A6" s="8" t="s">
        <v>58</v>
      </c>
      <c r="B6" s="8"/>
      <c r="C6" s="9" t="n">
        <v>1</v>
      </c>
      <c r="D6" s="9" t="n">
        <v>2</v>
      </c>
      <c r="E6" s="9" t="s">
        <v>69</v>
      </c>
      <c r="F6" s="9" t="n">
        <v>180</v>
      </c>
      <c r="G6" s="8" t="s">
        <v>70</v>
      </c>
      <c r="H6" s="9" t="s">
        <v>71</v>
      </c>
      <c r="I6" s="9" t="n">
        <v>4</v>
      </c>
      <c r="J6" s="9"/>
      <c r="K6" s="9" t="n">
        <v>64</v>
      </c>
      <c r="L6" s="9"/>
      <c r="M6" s="9"/>
      <c r="N6" s="9"/>
      <c r="O6" s="9"/>
      <c r="P6" s="9"/>
      <c r="Q6" s="10" t="s">
        <v>62</v>
      </c>
      <c r="R6" s="9" t="str">
        <f aca="false">IF(Q6="Aprobada","Ya aprobada",IF(Q6="Cursada aprobada","Ya cursada",IF(AND(OR(L6="",COUNTIF($F$2:$F$46,L6)=0,COUNTIFS($F$2:$F$46,L6,$Q$2:$Q$46,"Aprobada")&gt;0,AND(Resumen!$B$15="La cursada aprobada",COUNTIFS($F$2:$F$46,L6,$Q$2:$Q$46,"Cursada aprobada")&gt;0)),OR(M6="",COUNTIF($F$2:$F$46,M6)=0,COUNTIFS($F$2:$F$46,M6,$Q$2:$Q$46,"Aprobada")&gt;0,AND(Resumen!$B$15="La cursada aprobada",COUNTIFS($F$2:$F$46,M6,$Q$2:$Q$46,"Cursada aprobada")&gt;0)),OR(N6="",COUNTIF($F$2:$F$46,N6)=0,COUNTIFS($F$2:$F$46,N6,$Q$2:$Q$46,"Aprobada")&gt;0,AND(Resumen!$B$15="La cursada aprobada",COUNTIFS($F$2:$F$46,N6,$Q$2:$Q$46,"Cursada aprobada")&gt;0)),OR(O6="",COUNTIF($F$2:$F$46,O6)=0,COUNTIFS($F$2:$F$46,O6,$Q$2:$Q$46,"Aprobada")&gt;0,AND(Resumen!$B$15="La cursada aprobada",COUNTIFS($F$2:$F$46,O6,$Q$2:$Q$46,"Cursada aprobada")&gt;0)),OR(P6="",COUNTIF($F$2:$F$46,P6)=0,COUNTIFS($F$2:$F$46,P6,$Q$2:$Q$46,"Aprobada")&gt;0,AND(Resumen!$B$15="La cursada aprobada",COUNTIFS($F$2:$F$46,P6,$Q$2:$Q$46,"Cursada aprobada")&gt;0))),"Sí","No")))</f>
        <v>Sí</v>
      </c>
      <c r="S6" s="8" t="str">
        <f aca="false">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</f>
        <v/>
      </c>
      <c r="T6" s="9" t="str">
        <f aca="false">IF(Q6="Cursada aprobada",IF(AND(OR(L6="",COUNTIF($F$2:$F$46,L6)=0,COUNTIFS($F$2:$F$46,L6,$Q$2:$Q$46,"Aprobada")&gt;0),OR(M6="",COUNTIF($F$2:$F$46,M6)=0,COUNTIFS($F$2:$F$46,M6,$Q$2:$Q$46,"Aprobada")&gt;0),OR(N6="",COUNTIF($F$2:$F$46,N6)=0,COUNTIFS($F$2:$F$46,N6,$Q$2:$Q$46,"Aprobada")&gt;0),OR(O6="",COUNTIF($F$2:$F$46,O6)=0,COUNTIFS($F$2:$F$46,O6,$Q$2:$Q$46,"Aprobada")&gt;0),OR(P6="",COUNTIF($F$2:$F$46,P6)=0,COUNTIFS($F$2:$F$46,P6,$Q$2:$Q$46,"Aprobada")&gt;0)),"Sí","No"),"")</f>
        <v/>
      </c>
      <c r="U6" s="9" t="str">
        <f aca="false">IF(Q6="Aprobada",TRIM(IF(NOT(OR(L6="",COUNTIF($F$2:$F$46,L6)=0,COUNTIFS($F$2:$F$46,L6,$Q$2:$Q$46,"Aprobada")&gt;0)),L6&amp;" ","")&amp;IF(NOT(OR(M6="",COUNTIF($F$2:$F$46,M6)=0,COUNTIFS($F$2:$F$46,M6,$Q$2:$Q$46,"Aprobada")&gt;0)),M6&amp;" ","")&amp;IF(NOT(OR(N6="",COUNTIF($F$2:$F$46,N6)=0,COUNTIFS($F$2:$F$46,N6,$Q$2:$Q$46,"Aprobada")&gt;0)),N6&amp;" ","")&amp;IF(NOT(OR(O6="",COUNTIF($F$2:$F$46,O6)=0,COUNTIFS($F$2:$F$46,O6,$Q$2:$Q$46,"Aprobada")&gt;0)),O6&amp;" ","")&amp;IF(NOT(OR(P6="",COUNTIF($F$2:$F$46,P6)=0,COUNTIFS($F$2:$F$46,P6,$Q$2:$Q$46,"Aprobada")&gt;0)),P6&amp;" ","")),IF(Q6="Cursada aprobada",TRIM(IF(NOT(OR(L6="",COUNTIF($F$2:$F$46,L6)=0,COUNTIFS($F$2:$F$46,L6,$Q$2:$Q$46,"Aprobada")&gt;0,AND(Resumen!$B$15="La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","")),""))</f>
        <v/>
      </c>
    </row>
    <row r="7" customFormat="false" ht="15" hidden="false" customHeight="false" outlineLevel="0" collapsed="false">
      <c r="A7" s="8" t="s">
        <v>58</v>
      </c>
      <c r="B7" s="8"/>
      <c r="C7" s="9" t="n">
        <v>1</v>
      </c>
      <c r="D7" s="9" t="n">
        <v>2</v>
      </c>
      <c r="E7" s="9" t="s">
        <v>65</v>
      </c>
      <c r="F7" s="9" t="n">
        <v>108</v>
      </c>
      <c r="G7" s="8" t="s">
        <v>149</v>
      </c>
      <c r="H7" s="9" t="s">
        <v>61</v>
      </c>
      <c r="I7" s="9" t="n">
        <v>6</v>
      </c>
      <c r="J7" s="9"/>
      <c r="K7" s="9" t="n">
        <v>96</v>
      </c>
      <c r="L7" s="9" t="n">
        <v>102</v>
      </c>
      <c r="M7" s="9"/>
      <c r="N7" s="9"/>
      <c r="O7" s="9"/>
      <c r="P7" s="9"/>
      <c r="Q7" s="10" t="s">
        <v>62</v>
      </c>
      <c r="R7" s="9" t="str">
        <f aca="false">IF(Q7="Aprobada","Ya aprobada",IF(Q7="Cursada aprobada","Ya cursada",IF(AND(OR(L7="",COUNTIF($F$2:$F$46,L7)=0,COUNTIFS($F$2:$F$46,L7,$Q$2:$Q$46,"Aprobada")&gt;0,AND(Resumen!$B$15="La cursada aprobada",COUNTIFS($F$2:$F$46,L7,$Q$2:$Q$46,"Cursada aprobada")&gt;0)),OR(M7="",COUNTIF($F$2:$F$46,M7)=0,COUNTIFS($F$2:$F$46,M7,$Q$2:$Q$46,"Aprobada")&gt;0,AND(Resumen!$B$15="La cursada aprobada",COUNTIFS($F$2:$F$46,M7,$Q$2:$Q$46,"Cursada aprobada")&gt;0)),OR(N7="",COUNTIF($F$2:$F$46,N7)=0,COUNTIFS($F$2:$F$46,N7,$Q$2:$Q$46,"Aprobada")&gt;0,AND(Resumen!$B$15="La cursada aprobada",COUNTIFS($F$2:$F$46,N7,$Q$2:$Q$46,"Cursada aprobada")&gt;0)),OR(O7="",COUNTIF($F$2:$F$46,O7)=0,COUNTIFS($F$2:$F$46,O7,$Q$2:$Q$46,"Aprobada")&gt;0,AND(Resumen!$B$15="La cursada aprobada",COUNTIFS($F$2:$F$46,O7,$Q$2:$Q$46,"Cursada aprobada")&gt;0)),OR(P7="",COUNTIF($F$2:$F$46,P7)=0,COUNTIFS($F$2:$F$46,P7,$Q$2:$Q$46,"Aprobada")&gt;0,AND(Resumen!$B$15="La cursada aprobada",COUNTIFS($F$2:$F$46,P7,$Q$2:$Q$46,"Cursada aprobada")&gt;0))),"Sí","No")))</f>
        <v>No</v>
      </c>
      <c r="S7" s="8" t="str">
        <f aca="false">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</f>
        <v>102</v>
      </c>
      <c r="T7" s="9" t="str">
        <f aca="false">IF(Q7="Cursada aprobada",IF(AND(OR(L7="",COUNTIF($F$2:$F$46,L7)=0,COUNTIFS($F$2:$F$46,L7,$Q$2:$Q$46,"Aprobada")&gt;0),OR(M7="",COUNTIF($F$2:$F$46,M7)=0,COUNTIFS($F$2:$F$46,M7,$Q$2:$Q$46,"Aprobada")&gt;0),OR(N7="",COUNTIF($F$2:$F$46,N7)=0,COUNTIFS($F$2:$F$46,N7,$Q$2:$Q$46,"Aprobada")&gt;0),OR(O7="",COUNTIF($F$2:$F$46,O7)=0,COUNTIFS($F$2:$F$46,O7,$Q$2:$Q$46,"Aprobada")&gt;0),OR(P7="",COUNTIF($F$2:$F$46,P7)=0,COUNTIFS($F$2:$F$46,P7,$Q$2:$Q$46,"Aprobada")&gt;0)),"Sí","No"),"")</f>
        <v/>
      </c>
      <c r="U7" s="9" t="str">
        <f aca="false">IF(Q7="Aprobada",TRIM(IF(NOT(OR(L7="",COUNTIF($F$2:$F$46,L7)=0,COUNTIFS($F$2:$F$46,L7,$Q$2:$Q$46,"Aprobada")&gt;0)),L7&amp;" ","")&amp;IF(NOT(OR(M7="",COUNTIF($F$2:$F$46,M7)=0,COUNTIFS($F$2:$F$46,M7,$Q$2:$Q$46,"Aprobada")&gt;0)),M7&amp;" ","")&amp;IF(NOT(OR(N7="",COUNTIF($F$2:$F$46,N7)=0,COUNTIFS($F$2:$F$46,N7,$Q$2:$Q$46,"Aprobada")&gt;0)),N7&amp;" ","")&amp;IF(NOT(OR(O7="",COUNTIF($F$2:$F$46,O7)=0,COUNTIFS($F$2:$F$46,O7,$Q$2:$Q$46,"Aprobada")&gt;0)),O7&amp;" ","")&amp;IF(NOT(OR(P7="",COUNTIF($F$2:$F$46,P7)=0,COUNTIFS($F$2:$F$46,P7,$Q$2:$Q$46,"Aprobada")&gt;0)),P7&amp;" ","")),IF(Q7="Cursada aprobada",TRIM(IF(NOT(OR(L7="",COUNTIF($F$2:$F$46,L7)=0,COUNTIFS($F$2:$F$46,L7,$Q$2:$Q$46,"Aprobada")&gt;0,AND(Resumen!$B$15="La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","")),""))</f>
        <v/>
      </c>
    </row>
    <row r="8" customFormat="false" ht="15" hidden="false" customHeight="false" outlineLevel="0" collapsed="false">
      <c r="A8" s="8" t="s">
        <v>58</v>
      </c>
      <c r="B8" s="8"/>
      <c r="C8" s="9" t="n">
        <v>2</v>
      </c>
      <c r="D8" s="9" t="n">
        <v>1</v>
      </c>
      <c r="E8" s="9" t="s">
        <v>59</v>
      </c>
      <c r="F8" s="9" t="n">
        <v>314</v>
      </c>
      <c r="G8" s="8" t="s">
        <v>74</v>
      </c>
      <c r="H8" s="9" t="s">
        <v>61</v>
      </c>
      <c r="I8" s="9" t="n">
        <v>6</v>
      </c>
      <c r="J8" s="9"/>
      <c r="K8" s="9" t="n">
        <v>96</v>
      </c>
      <c r="L8" s="9" t="n">
        <v>101</v>
      </c>
      <c r="M8" s="9" t="n">
        <v>108</v>
      </c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cursada",IF(AND(OR(L8="",COUNTIF($F$2:$F$46,L8)=0,COUNTIFS($F$2:$F$46,L8,$Q$2:$Q$46,"Aprobada")&gt;0,AND(Resumen!$B$15="La cursada aprobada",COUNTIFS($F$2:$F$46,L8,$Q$2:$Q$46,"Cursada aprobada")&gt;0)),OR(M8="",COUNTIF($F$2:$F$46,M8)=0,COUNTIFS($F$2:$F$46,M8,$Q$2:$Q$46,"Aprobada")&gt;0,AND(Resumen!$B$15="La cursada aprobada",COUNTIFS($F$2:$F$46,M8,$Q$2:$Q$46,"Cursada aprobada")&gt;0)),OR(N8="",COUNTIF($F$2:$F$46,N8)=0,COUNTIFS($F$2:$F$46,N8,$Q$2:$Q$46,"Aprobada")&gt;0,AND(Resumen!$B$15="La cursada aprobada",COUNTIFS($F$2:$F$46,N8,$Q$2:$Q$46,"Cursada aprobada")&gt;0)),OR(O8="",COUNTIF($F$2:$F$46,O8)=0,COUNTIFS($F$2:$F$46,O8,$Q$2:$Q$46,"Aprobada")&gt;0,AND(Resumen!$B$15="La cursada aprobada",COUNTIFS($F$2:$F$46,O8,$Q$2:$Q$46,"Cursada aprobada")&gt;0)),OR(P8="",COUNTIF($F$2:$F$46,P8)=0,COUNTIFS($F$2:$F$46,P8,$Q$2:$Q$46,"Aprobada")&gt;0,AND(Resumen!$B$15="La cursada aprobada",COUNTIFS($F$2:$F$46,P8,$Q$2:$Q$46,"Cursada aprobada")&gt;0))),"Sí","No")))</f>
        <v>No</v>
      </c>
      <c r="S8" s="8" t="str">
        <f aca="false">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</f>
        <v>101 108</v>
      </c>
      <c r="T8" s="9" t="str">
        <f aca="false">IF(Q8="Cursada aprobada",IF(AND(OR(L8="",COUNTIF($F$2:$F$46,L8)=0,COUNTIFS($F$2:$F$46,L8,$Q$2:$Q$46,"Aprobada")&gt;0),OR(M8="",COUNTIF($F$2:$F$46,M8)=0,COUNTIFS($F$2:$F$46,M8,$Q$2:$Q$46,"Aprobada")&gt;0),OR(N8="",COUNTIF($F$2:$F$46,N8)=0,COUNTIFS($F$2:$F$46,N8,$Q$2:$Q$46,"Aprobada")&gt;0),OR(O8="",COUNTIF($F$2:$F$46,O8)=0,COUNTIFS($F$2:$F$46,O8,$Q$2:$Q$46,"Aprobada")&gt;0),OR(P8="",COUNTIF($F$2:$F$46,P8)=0,COUNTIFS($F$2:$F$46,P8,$Q$2:$Q$46,"Aprobada")&gt;0)),"Sí","No"),"")</f>
        <v/>
      </c>
      <c r="U8" s="9" t="str">
        <f aca="false">IF(Q8="Aprobada",TRIM(IF(NOT(OR(L8="",COUNTIF($F$2:$F$46,L8)=0,COUNTIFS($F$2:$F$46,L8,$Q$2:$Q$46,"Aprobada")&gt;0)),L8&amp;" ","")&amp;IF(NOT(OR(M8="",COUNTIF($F$2:$F$46,M8)=0,COUNTIFS($F$2:$F$46,M8,$Q$2:$Q$46,"Aprobada")&gt;0)),M8&amp;" ","")&amp;IF(NOT(OR(N8="",COUNTIF($F$2:$F$46,N8)=0,COUNTIFS($F$2:$F$46,N8,$Q$2:$Q$46,"Aprobada")&gt;0)),N8&amp;" ","")&amp;IF(NOT(OR(O8="",COUNTIF($F$2:$F$46,O8)=0,COUNTIFS($F$2:$F$46,O8,$Q$2:$Q$46,"Aprobada")&gt;0)),O8&amp;" ","")&amp;IF(NOT(OR(P8="",COUNTIF($F$2:$F$46,P8)=0,COUNTIFS($F$2:$F$46,P8,$Q$2:$Q$46,"Aprobada")&gt;0)),P8&amp;" ","")),IF(Q8="Cursada aprobada",TRIM(IF(NOT(OR(L8="",COUNTIF($F$2:$F$46,L8)=0,COUNTIFS($F$2:$F$46,L8,$Q$2:$Q$46,"Aprobada")&gt;0,AND(Resumen!$B$15="La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","")),""))</f>
        <v/>
      </c>
    </row>
    <row r="9" customFormat="false" ht="15" hidden="false" customHeight="false" outlineLevel="0" collapsed="false">
      <c r="A9" s="8" t="s">
        <v>58</v>
      </c>
      <c r="B9" s="8"/>
      <c r="C9" s="9" t="n">
        <v>2</v>
      </c>
      <c r="D9" s="9" t="n">
        <v>1</v>
      </c>
      <c r="E9" s="9" t="s">
        <v>69</v>
      </c>
      <c r="F9" s="9" t="n">
        <v>280</v>
      </c>
      <c r="G9" s="8" t="s">
        <v>76</v>
      </c>
      <c r="H9" s="9" t="s">
        <v>71</v>
      </c>
      <c r="I9" s="9" t="n">
        <v>4</v>
      </c>
      <c r="J9" s="9"/>
      <c r="K9" s="9" t="n">
        <v>64</v>
      </c>
      <c r="L9" s="9" t="n">
        <v>180</v>
      </c>
      <c r="M9" s="9"/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cursada",IF(AND(OR(L9="",COUNTIF($F$2:$F$46,L9)=0,COUNTIFS($F$2:$F$46,L9,$Q$2:$Q$46,"Aprobada")&gt;0,AND(Resumen!$B$15="La cursada aprobada",COUNTIFS($F$2:$F$46,L9,$Q$2:$Q$46,"Cursada aprobada")&gt;0)),OR(M9="",COUNTIF($F$2:$F$46,M9)=0,COUNTIFS($F$2:$F$46,M9,$Q$2:$Q$46,"Aprobada")&gt;0,AND(Resumen!$B$15="La cursada aprobada",COUNTIFS($F$2:$F$46,M9,$Q$2:$Q$46,"Cursada aprobada")&gt;0)),OR(N9="",COUNTIF($F$2:$F$46,N9)=0,COUNTIFS($F$2:$F$46,N9,$Q$2:$Q$46,"Aprobada")&gt;0,AND(Resumen!$B$15="La cursada aprobada",COUNTIFS($F$2:$F$46,N9,$Q$2:$Q$46,"Cursada aprobada")&gt;0)),OR(O9="",COUNTIF($F$2:$F$46,O9)=0,COUNTIFS($F$2:$F$46,O9,$Q$2:$Q$46,"Aprobada")&gt;0,AND(Resumen!$B$15="La cursada aprobada",COUNTIFS($F$2:$F$46,O9,$Q$2:$Q$46,"Cursada aprobada")&gt;0)),OR(P9="",COUNTIF($F$2:$F$46,P9)=0,COUNTIFS($F$2:$F$46,P9,$Q$2:$Q$46,"Aprobada")&gt;0,AND(Resumen!$B$15="La cursada aprobada",COUNTIFS($F$2:$F$46,P9,$Q$2:$Q$46,"Cursada aprobada")&gt;0))),"Sí","No")))</f>
        <v>No</v>
      </c>
      <c r="S9" s="8" t="str">
        <f aca="false">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</f>
        <v>180</v>
      </c>
      <c r="T9" s="9" t="str">
        <f aca="false">IF(Q9="Cursada aprobada",IF(AND(OR(L9="",COUNTIF($F$2:$F$46,L9)=0,COUNTIFS($F$2:$F$46,L9,$Q$2:$Q$46,"Aprobada")&gt;0),OR(M9="",COUNTIF($F$2:$F$46,M9)=0,COUNTIFS($F$2:$F$46,M9,$Q$2:$Q$46,"Aprobada")&gt;0),OR(N9="",COUNTIF($F$2:$F$46,N9)=0,COUNTIFS($F$2:$F$46,N9,$Q$2:$Q$46,"Aprobada")&gt;0),OR(O9="",COUNTIF($F$2:$F$46,O9)=0,COUNTIFS($F$2:$F$46,O9,$Q$2:$Q$46,"Aprobada")&gt;0),OR(P9="",COUNTIF($F$2:$F$46,P9)=0,COUNTIFS($F$2:$F$46,P9,$Q$2:$Q$46,"Aprobada")&gt;0)),"Sí","No"),"")</f>
        <v/>
      </c>
      <c r="U9" s="9" t="str">
        <f aca="false">IF(Q9="Aprobada",TRIM(IF(NOT(OR(L9="",COUNTIF($F$2:$F$46,L9)=0,COUNTIFS($F$2:$F$46,L9,$Q$2:$Q$46,"Aprobada")&gt;0)),L9&amp;" ","")&amp;IF(NOT(OR(M9="",COUNTIF($F$2:$F$46,M9)=0,COUNTIFS($F$2:$F$46,M9,$Q$2:$Q$46,"Aprobada")&gt;0)),M9&amp;" ","")&amp;IF(NOT(OR(N9="",COUNTIF($F$2:$F$46,N9)=0,COUNTIFS($F$2:$F$46,N9,$Q$2:$Q$46,"Aprobada")&gt;0)),N9&amp;" ","")&amp;IF(NOT(OR(O9="",COUNTIF($F$2:$F$46,O9)=0,COUNTIFS($F$2:$F$46,O9,$Q$2:$Q$46,"Aprobada")&gt;0)),O9&amp;" ","")&amp;IF(NOT(OR(P9="",COUNTIF($F$2:$F$46,P9)=0,COUNTIFS($F$2:$F$46,P9,$Q$2:$Q$46,"Aprobada")&gt;0)),P9&amp;" ","")),IF(Q9="Cursada aprobada",TRIM(IF(NOT(OR(L9="",COUNTIF($F$2:$F$46,L9)=0,COUNTIFS($F$2:$F$46,L9,$Q$2:$Q$46,"Aprobada")&gt;0,AND(Resumen!$B$15="La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","")),""))</f>
        <v/>
      </c>
    </row>
    <row r="10" customFormat="false" ht="15" hidden="false" customHeight="false" outlineLevel="0" collapsed="false">
      <c r="A10" s="8" t="s">
        <v>58</v>
      </c>
      <c r="B10" s="8"/>
      <c r="C10" s="9" t="n">
        <v>2</v>
      </c>
      <c r="D10" s="9" t="n">
        <v>1</v>
      </c>
      <c r="E10" s="9" t="s">
        <v>77</v>
      </c>
      <c r="F10" s="9" t="n">
        <v>202</v>
      </c>
      <c r="G10" s="8" t="s">
        <v>78</v>
      </c>
      <c r="H10" s="9" t="s">
        <v>71</v>
      </c>
      <c r="I10" s="9" t="n">
        <v>4</v>
      </c>
      <c r="J10" s="9" t="n">
        <v>32</v>
      </c>
      <c r="K10" s="9"/>
      <c r="L10" s="9"/>
      <c r="M10" s="9"/>
      <c r="N10" s="9"/>
      <c r="O10" s="9"/>
      <c r="P10" s="9"/>
      <c r="Q10" s="10" t="s">
        <v>62</v>
      </c>
      <c r="R10" s="9" t="str">
        <f aca="false">IF(Q10="Aprobada","Ya aprobada",IF(Q10="Cursada aprobada","Ya cursada",IF(AND(OR(L10="",COUNTIF($F$2:$F$46,L10)=0,COUNTIFS($F$2:$F$46,L10,$Q$2:$Q$46,"Aprobada")&gt;0,AND(Resumen!$B$15="La cursada aprobada",COUNTIFS($F$2:$F$46,L10,$Q$2:$Q$46,"Cursada aprobada")&gt;0)),OR(M10="",COUNTIF($F$2:$F$46,M10)=0,COUNTIFS($F$2:$F$46,M10,$Q$2:$Q$46,"Aprobada")&gt;0,AND(Resumen!$B$15="La cursada aprobada",COUNTIFS($F$2:$F$46,M10,$Q$2:$Q$46,"Cursada aprobada")&gt;0)),OR(N10="",COUNTIF($F$2:$F$46,N10)=0,COUNTIFS($F$2:$F$46,N10,$Q$2:$Q$46,"Aprobada")&gt;0,AND(Resumen!$B$15="La cursada aprobada",COUNTIFS($F$2:$F$46,N10,$Q$2:$Q$46,"Cursada aprobada")&gt;0)),OR(O10="",COUNTIF($F$2:$F$46,O10)=0,COUNTIFS($F$2:$F$46,O10,$Q$2:$Q$46,"Aprobada")&gt;0,AND(Resumen!$B$15="La cursada aprobada",COUNTIFS($F$2:$F$46,O10,$Q$2:$Q$46,"Cursada aprobada")&gt;0)),OR(P10="",COUNTIF($F$2:$F$46,P10)=0,COUNTIFS($F$2:$F$46,P10,$Q$2:$Q$46,"Aprobada")&gt;0,AND(Resumen!$B$15="La cursada aprobada",COUNTIFS($F$2:$F$46,P10,$Q$2:$Q$46,"Cursada aprobada")&gt;0))),"Sí","No")))</f>
        <v>Sí</v>
      </c>
      <c r="S10" s="8" t="str">
        <f aca="false">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</f>
        <v/>
      </c>
      <c r="T10" s="9" t="str">
        <f aca="false">IF(Q10="Cursada aprobada",IF(AND(OR(L10="",COUNTIF($F$2:$F$46,L10)=0,COUNTIFS($F$2:$F$46,L10,$Q$2:$Q$46,"Aprobada")&gt;0),OR(M10="",COUNTIF($F$2:$F$46,M10)=0,COUNTIFS($F$2:$F$46,M10,$Q$2:$Q$46,"Aprobada")&gt;0),OR(N10="",COUNTIF($F$2:$F$46,N10)=0,COUNTIFS($F$2:$F$46,N10,$Q$2:$Q$46,"Aprobada")&gt;0),OR(O10="",COUNTIF($F$2:$F$46,O10)=0,COUNTIFS($F$2:$F$46,O10,$Q$2:$Q$46,"Aprobada")&gt;0),OR(P10="",COUNTIF($F$2:$F$46,P10)=0,COUNTIFS($F$2:$F$46,P10,$Q$2:$Q$46,"Aprobada")&gt;0)),"Sí","No"),"")</f>
        <v/>
      </c>
      <c r="U10" s="9" t="str">
        <f aca="false">IF(Q10="Aprobada",TRIM(IF(NOT(OR(L10="",COUNTIF($F$2:$F$46,L10)=0,COUNTIFS($F$2:$F$46,L10,$Q$2:$Q$46,"Aprobada")&gt;0)),L10&amp;" ","")&amp;IF(NOT(OR(M10="",COUNTIF($F$2:$F$46,M10)=0,COUNTIFS($F$2:$F$46,M10,$Q$2:$Q$46,"Aprobada")&gt;0)),M10&amp;" ","")&amp;IF(NOT(OR(N10="",COUNTIF($F$2:$F$46,N10)=0,COUNTIFS($F$2:$F$46,N10,$Q$2:$Q$46,"Aprobada")&gt;0)),N10&amp;" ","")&amp;IF(NOT(OR(O10="",COUNTIF($F$2:$F$46,O10)=0,COUNTIFS($F$2:$F$46,O10,$Q$2:$Q$46,"Aprobada")&gt;0)),O10&amp;" ","")&amp;IF(NOT(OR(P10="",COUNTIF($F$2:$F$46,P10)=0,COUNTIFS($F$2:$F$46,P10,$Q$2:$Q$46,"Aprobada")&gt;0)),P10&amp;" ","")),IF(Q10="Cursada aprobada",TRIM(IF(NOT(OR(L10="",COUNTIF($F$2:$F$46,L10)=0,COUNTIFS($F$2:$F$46,L10,$Q$2:$Q$46,"Aprobada")&gt;0,AND(Resumen!$B$15="La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","")),""))</f>
        <v/>
      </c>
    </row>
    <row r="11" customFormat="false" ht="15" hidden="false" customHeight="false" outlineLevel="0" collapsed="false">
      <c r="A11" s="8" t="s">
        <v>58</v>
      </c>
      <c r="B11" s="8"/>
      <c r="C11" s="9" t="n">
        <v>2</v>
      </c>
      <c r="D11" s="9" t="n">
        <v>1</v>
      </c>
      <c r="E11" s="9" t="s">
        <v>77</v>
      </c>
      <c r="F11" s="9" t="n">
        <v>307</v>
      </c>
      <c r="G11" s="8" t="s">
        <v>79</v>
      </c>
      <c r="H11" s="9" t="s">
        <v>71</v>
      </c>
      <c r="I11" s="9" t="n">
        <v>4</v>
      </c>
      <c r="J11" s="9" t="n">
        <v>32</v>
      </c>
      <c r="K11" s="9"/>
      <c r="L11" s="9"/>
      <c r="M11" s="9"/>
      <c r="N11" s="9"/>
      <c r="O11" s="9"/>
      <c r="P11" s="9"/>
      <c r="Q11" s="10" t="s">
        <v>62</v>
      </c>
      <c r="R11" s="9" t="str">
        <f aca="false">IF(Q11="Aprobada","Ya aprobada",IF(Q11="Cursada aprobada","Ya cursada",IF(AND(OR(L11="",COUNTIF($F$2:$F$46,L11)=0,COUNTIFS($F$2:$F$46,L11,$Q$2:$Q$46,"Aprobada")&gt;0,AND(Resumen!$B$15="La cursada aprobada",COUNTIFS($F$2:$F$46,L11,$Q$2:$Q$46,"Cursada aprobada")&gt;0)),OR(M11="",COUNTIF($F$2:$F$46,M11)=0,COUNTIFS($F$2:$F$46,M11,$Q$2:$Q$46,"Aprobada")&gt;0,AND(Resumen!$B$15="La cursada aprobada",COUNTIFS($F$2:$F$46,M11,$Q$2:$Q$46,"Cursada aprobada")&gt;0)),OR(N11="",COUNTIF($F$2:$F$46,N11)=0,COUNTIFS($F$2:$F$46,N11,$Q$2:$Q$46,"Aprobada")&gt;0,AND(Resumen!$B$15="La cursada aprobada",COUNTIFS($F$2:$F$46,N11,$Q$2:$Q$46,"Cursada aprobada")&gt;0)),OR(O11="",COUNTIF($F$2:$F$46,O11)=0,COUNTIFS($F$2:$F$46,O11,$Q$2:$Q$46,"Aprobada")&gt;0,AND(Resumen!$B$15="La cursada aprobada",COUNTIFS($F$2:$F$46,O11,$Q$2:$Q$46,"Cursada aprobada")&gt;0)),OR(P11="",COUNTIF($F$2:$F$46,P11)=0,COUNTIFS($F$2:$F$46,P11,$Q$2:$Q$46,"Aprobada")&gt;0,AND(Resumen!$B$15="La cursada aprobada",COUNTIFS($F$2:$F$46,P11,$Q$2:$Q$46,"Cursada aprobada")&gt;0))),"Sí","No")))</f>
        <v>Sí</v>
      </c>
      <c r="S11" s="8" t="str">
        <f aca="false">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</f>
        <v/>
      </c>
      <c r="T11" s="9" t="str">
        <f aca="false">IF(Q11="Cursada aprobada",IF(AND(OR(L11="",COUNTIF($F$2:$F$46,L11)=0,COUNTIFS($F$2:$F$46,L11,$Q$2:$Q$46,"Aprobada")&gt;0),OR(M11="",COUNTIF($F$2:$F$46,M11)=0,COUNTIFS($F$2:$F$46,M11,$Q$2:$Q$46,"Aprobada")&gt;0),OR(N11="",COUNTIF($F$2:$F$46,N11)=0,COUNTIFS($F$2:$F$46,N11,$Q$2:$Q$46,"Aprobada")&gt;0),OR(O11="",COUNTIF($F$2:$F$46,O11)=0,COUNTIFS($F$2:$F$46,O11,$Q$2:$Q$46,"Aprobada")&gt;0),OR(P11="",COUNTIF($F$2:$F$46,P11)=0,COUNTIFS($F$2:$F$46,P11,$Q$2:$Q$46,"Aprobada")&gt;0)),"Sí","No"),"")</f>
        <v/>
      </c>
      <c r="U11" s="9" t="str">
        <f aca="false">IF(Q11="Aprobada",TRIM(IF(NOT(OR(L11="",COUNTIF($F$2:$F$46,L11)=0,COUNTIFS($F$2:$F$46,L11,$Q$2:$Q$46,"Aprobada")&gt;0)),L11&amp;" ","")&amp;IF(NOT(OR(M11="",COUNTIF($F$2:$F$46,M11)=0,COUNTIFS($F$2:$F$46,M11,$Q$2:$Q$46,"Aprobada")&gt;0)),M11&amp;" ","")&amp;IF(NOT(OR(N11="",COUNTIF($F$2:$F$46,N11)=0,COUNTIFS($F$2:$F$46,N11,$Q$2:$Q$46,"Aprobada")&gt;0)),N11&amp;" ","")&amp;IF(NOT(OR(O11="",COUNTIF($F$2:$F$46,O11)=0,COUNTIFS($F$2:$F$46,O11,$Q$2:$Q$46,"Aprobada")&gt;0)),O11&amp;" ","")&amp;IF(NOT(OR(P11="",COUNTIF($F$2:$F$46,P11)=0,COUNTIFS($F$2:$F$46,P11,$Q$2:$Q$46,"Aprobada")&gt;0)),P11&amp;" ","")),IF(Q11="Cursada aprobada",TRIM(IF(NOT(OR(L11="",COUNTIF($F$2:$F$46,L11)=0,COUNTIFS($F$2:$F$46,L11,$Q$2:$Q$46,"Aprobada")&gt;0,AND(Resumen!$B$15="La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","")),""))</f>
        <v/>
      </c>
    </row>
    <row r="12" customFormat="false" ht="15" hidden="false" customHeight="false" outlineLevel="0" collapsed="false">
      <c r="A12" s="8" t="s">
        <v>58</v>
      </c>
      <c r="B12" s="8"/>
      <c r="C12" s="9" t="n">
        <v>2</v>
      </c>
      <c r="D12" s="9" t="n">
        <v>2</v>
      </c>
      <c r="E12" s="9" t="s">
        <v>59</v>
      </c>
      <c r="F12" s="9" t="n">
        <v>208</v>
      </c>
      <c r="G12" s="8" t="s">
        <v>81</v>
      </c>
      <c r="H12" s="9" t="s">
        <v>61</v>
      </c>
      <c r="I12" s="9" t="n">
        <v>6</v>
      </c>
      <c r="J12" s="9"/>
      <c r="K12" s="9" t="n">
        <v>96</v>
      </c>
      <c r="L12" s="9" t="n">
        <v>101</v>
      </c>
      <c r="M12" s="9" t="n">
        <v>108</v>
      </c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cursada",IF(AND(OR(L12="",COUNTIF($F$2:$F$46,L12)=0,COUNTIFS($F$2:$F$46,L12,$Q$2:$Q$46,"Aprobada")&gt;0,AND(Resumen!$B$15="La cursada aprobada",COUNTIFS($F$2:$F$46,L12,$Q$2:$Q$46,"Cursada aprobada")&gt;0)),OR(M12="",COUNTIF($F$2:$F$46,M12)=0,COUNTIFS($F$2:$F$46,M12,$Q$2:$Q$46,"Aprobada")&gt;0,AND(Resumen!$B$15="La cursada aprobada",COUNTIFS($F$2:$F$46,M12,$Q$2:$Q$46,"Cursada aprobada")&gt;0)),OR(N12="",COUNTIF($F$2:$F$46,N12)=0,COUNTIFS($F$2:$F$46,N12,$Q$2:$Q$46,"Aprobada")&gt;0,AND(Resumen!$B$15="La cursada aprobada",COUNTIFS($F$2:$F$46,N12,$Q$2:$Q$46,"Cursada aprobada")&gt;0)),OR(O12="",COUNTIF($F$2:$F$46,O12)=0,COUNTIFS($F$2:$F$46,O12,$Q$2:$Q$46,"Aprobada")&gt;0,AND(Resumen!$B$15="La cursada aprobada",COUNTIFS($F$2:$F$46,O12,$Q$2:$Q$46,"Cursada aprobada")&gt;0)),OR(P12="",COUNTIF($F$2:$F$46,P12)=0,COUNTIFS($F$2:$F$46,P12,$Q$2:$Q$46,"Aprobada")&gt;0,AND(Resumen!$B$15="La cursada aprobada",COUNTIFS($F$2:$F$46,P12,$Q$2:$Q$46,"Cursada aprobada")&gt;0))),"Sí","No")))</f>
        <v>No</v>
      </c>
      <c r="S12" s="8" t="str">
        <f aca="false">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</f>
        <v>101 108</v>
      </c>
      <c r="T12" s="9" t="str">
        <f aca="false">IF(Q12="Cursada aprobada",IF(AND(OR(L12="",COUNTIF($F$2:$F$46,L12)=0,COUNTIFS($F$2:$F$46,L12,$Q$2:$Q$46,"Aprobada")&gt;0),OR(M12="",COUNTIF($F$2:$F$46,M12)=0,COUNTIFS($F$2:$F$46,M12,$Q$2:$Q$46,"Aprobada")&gt;0),OR(N12="",COUNTIF($F$2:$F$46,N12)=0,COUNTIFS($F$2:$F$46,N12,$Q$2:$Q$46,"Aprobada")&gt;0),OR(O12="",COUNTIF($F$2:$F$46,O12)=0,COUNTIFS($F$2:$F$46,O12,$Q$2:$Q$46,"Aprobada")&gt;0),OR(P12="",COUNTIF($F$2:$F$46,P12)=0,COUNTIFS($F$2:$F$46,P12,$Q$2:$Q$46,"Aprobada")&gt;0)),"Sí","No"),"")</f>
        <v/>
      </c>
      <c r="U12" s="9" t="str">
        <f aca="false">IF(Q12="Aprobada",TRIM(IF(NOT(OR(L12="",COUNTIF($F$2:$F$46,L12)=0,COUNTIFS($F$2:$F$46,L12,$Q$2:$Q$46,"Aprobada")&gt;0)),L12&amp;" ","")&amp;IF(NOT(OR(M12="",COUNTIF($F$2:$F$46,M12)=0,COUNTIFS($F$2:$F$46,M12,$Q$2:$Q$46,"Aprobada")&gt;0)),M12&amp;" ","")&amp;IF(NOT(OR(N12="",COUNTIF($F$2:$F$46,N12)=0,COUNTIFS($F$2:$F$46,N12,$Q$2:$Q$46,"Aprobada")&gt;0)),N12&amp;" ","")&amp;IF(NOT(OR(O12="",COUNTIF($F$2:$F$46,O12)=0,COUNTIFS($F$2:$F$46,O12,$Q$2:$Q$46,"Aprobada")&gt;0)),O12&amp;" ","")&amp;IF(NOT(OR(P12="",COUNTIF($F$2:$F$46,P12)=0,COUNTIFS($F$2:$F$46,P12,$Q$2:$Q$46,"Aprobada")&gt;0)),P12&amp;" ","")),IF(Q12="Cursada aprobada",TRIM(IF(NOT(OR(L12="",COUNTIF($F$2:$F$46,L12)=0,COUNTIFS($F$2:$F$46,L12,$Q$2:$Q$46,"Aprobada")&gt;0,AND(Resumen!$B$15="La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","")),""))</f>
        <v/>
      </c>
    </row>
    <row r="13" customFormat="false" ht="15" hidden="false" customHeight="false" outlineLevel="0" collapsed="false">
      <c r="A13" s="8" t="s">
        <v>58</v>
      </c>
      <c r="B13" s="8"/>
      <c r="C13" s="9" t="n">
        <v>2</v>
      </c>
      <c r="D13" s="9" t="n">
        <v>2</v>
      </c>
      <c r="E13" s="9" t="s">
        <v>65</v>
      </c>
      <c r="F13" s="9" t="n">
        <v>206</v>
      </c>
      <c r="G13" s="8" t="s">
        <v>150</v>
      </c>
      <c r="H13" s="9" t="s">
        <v>61</v>
      </c>
      <c r="I13" s="9" t="n">
        <v>6</v>
      </c>
      <c r="J13" s="9"/>
      <c r="K13" s="9" t="n">
        <v>96</v>
      </c>
      <c r="L13" s="9" t="n">
        <v>108</v>
      </c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cursada",IF(AND(OR(L13="",COUNTIF($F$2:$F$46,L13)=0,COUNTIFS($F$2:$F$46,L13,$Q$2:$Q$46,"Aprobada")&gt;0,AND(Resumen!$B$15="La cursada aprobada",COUNTIFS($F$2:$F$46,L13,$Q$2:$Q$46,"Cursada aprobada")&gt;0)),OR(M13="",COUNTIF($F$2:$F$46,M13)=0,COUNTIFS($F$2:$F$46,M13,$Q$2:$Q$46,"Aprobada")&gt;0,AND(Resumen!$B$15="La cursada aprobada",COUNTIFS($F$2:$F$46,M13,$Q$2:$Q$46,"Cursada aprobada")&gt;0)),OR(N13="",COUNTIF($F$2:$F$46,N13)=0,COUNTIFS($F$2:$F$46,N13,$Q$2:$Q$46,"Aprobada")&gt;0,AND(Resumen!$B$15="La cursada aprobada",COUNTIFS($F$2:$F$46,N13,$Q$2:$Q$46,"Cursada aprobada")&gt;0)),OR(O13="",COUNTIF($F$2:$F$46,O13)=0,COUNTIFS($F$2:$F$46,O13,$Q$2:$Q$46,"Aprobada")&gt;0,AND(Resumen!$B$15="La cursada aprobada",COUNTIFS($F$2:$F$46,O13,$Q$2:$Q$46,"Cursada aprobada")&gt;0)),OR(P13="",COUNTIF($F$2:$F$46,P13)=0,COUNTIFS($F$2:$F$46,P13,$Q$2:$Q$46,"Aprobada")&gt;0,AND(Resumen!$B$15="La cursada aprobada",COUNTIFS($F$2:$F$46,P13,$Q$2:$Q$46,"Cursada aprobada")&gt;0))),"Sí","No")))</f>
        <v>No</v>
      </c>
      <c r="S13" s="8" t="str">
        <f aca="false">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</f>
        <v>108</v>
      </c>
      <c r="T13" s="9" t="str">
        <f aca="false">IF(Q13="Cursada aprobada",IF(AND(OR(L13="",COUNTIF($F$2:$F$46,L13)=0,COUNTIFS($F$2:$F$46,L13,$Q$2:$Q$46,"Aprobada")&gt;0),OR(M13="",COUNTIF($F$2:$F$46,M13)=0,COUNTIFS($F$2:$F$46,M13,$Q$2:$Q$46,"Aprobada")&gt;0),OR(N13="",COUNTIF($F$2:$F$46,N13)=0,COUNTIFS($F$2:$F$46,N13,$Q$2:$Q$46,"Aprobada")&gt;0),OR(O13="",COUNTIF($F$2:$F$46,O13)=0,COUNTIFS($F$2:$F$46,O13,$Q$2:$Q$46,"Aprobada")&gt;0),OR(P13="",COUNTIF($F$2:$F$46,P13)=0,COUNTIFS($F$2:$F$46,P13,$Q$2:$Q$46,"Aprobada")&gt;0)),"Sí","No"),"")</f>
        <v/>
      </c>
      <c r="U13" s="9" t="str">
        <f aca="false">IF(Q13="Aprobada",TRIM(IF(NOT(OR(L13="",COUNTIF($F$2:$F$46,L13)=0,COUNTIFS($F$2:$F$46,L13,$Q$2:$Q$46,"Aprobada")&gt;0)),L13&amp;" ","")&amp;IF(NOT(OR(M13="",COUNTIF($F$2:$F$46,M13)=0,COUNTIFS($F$2:$F$46,M13,$Q$2:$Q$46,"Aprobada")&gt;0)),M13&amp;" ","")&amp;IF(NOT(OR(N13="",COUNTIF($F$2:$F$46,N13)=0,COUNTIFS($F$2:$F$46,N13,$Q$2:$Q$46,"Aprobada")&gt;0)),N13&amp;" ","")&amp;IF(NOT(OR(O13="",COUNTIF($F$2:$F$46,O13)=0,COUNTIFS($F$2:$F$46,O13,$Q$2:$Q$46,"Aprobada")&gt;0)),O13&amp;" ","")&amp;IF(NOT(OR(P13="",COUNTIF($F$2:$F$46,P13)=0,COUNTIFS($F$2:$F$46,P13,$Q$2:$Q$46,"Aprobada")&gt;0)),P13&amp;" ","")),IF(Q13="Cursada aprobada",TRIM(IF(NOT(OR(L13="",COUNTIF($F$2:$F$46,L13)=0,COUNTIFS($F$2:$F$46,L13,$Q$2:$Q$46,"Aprobada")&gt;0,AND(Resumen!$B$15="La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","")),""))</f>
        <v/>
      </c>
    </row>
    <row r="14" customFormat="false" ht="15" hidden="false" customHeight="false" outlineLevel="0" collapsed="false">
      <c r="A14" s="8" t="s">
        <v>58</v>
      </c>
      <c r="B14" s="8"/>
      <c r="C14" s="9" t="n">
        <v>2</v>
      </c>
      <c r="D14" s="9" t="n">
        <v>2</v>
      </c>
      <c r="E14" s="9" t="s">
        <v>69</v>
      </c>
      <c r="F14" s="9" t="n">
        <v>218</v>
      </c>
      <c r="G14" s="8" t="s">
        <v>151</v>
      </c>
      <c r="H14" s="9" t="s">
        <v>71</v>
      </c>
      <c r="I14" s="9" t="n">
        <v>6</v>
      </c>
      <c r="J14" s="9"/>
      <c r="K14" s="9" t="n">
        <v>96</v>
      </c>
      <c r="L14" s="9"/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cursada",IF(AND(OR(L14="",COUNTIF($F$2:$F$46,L14)=0,COUNTIFS($F$2:$F$46,L14,$Q$2:$Q$46,"Aprobada")&gt;0,AND(Resumen!$B$15="La cursada aprobada",COUNTIFS($F$2:$F$46,L14,$Q$2:$Q$46,"Cursada aprobada")&gt;0)),OR(M14="",COUNTIF($F$2:$F$46,M14)=0,COUNTIFS($F$2:$F$46,M14,$Q$2:$Q$46,"Aprobada")&gt;0,AND(Resumen!$B$15="La cursada aprobada",COUNTIFS($F$2:$F$46,M14,$Q$2:$Q$46,"Cursada aprobada")&gt;0)),OR(N14="",COUNTIF($F$2:$F$46,N14)=0,COUNTIFS($F$2:$F$46,N14,$Q$2:$Q$46,"Aprobada")&gt;0,AND(Resumen!$B$15="La cursada aprobada",COUNTIFS($F$2:$F$46,N14,$Q$2:$Q$46,"Cursada aprobada")&gt;0)),OR(O14="",COUNTIF($F$2:$F$46,O14)=0,COUNTIFS($F$2:$F$46,O14,$Q$2:$Q$46,"Aprobada")&gt;0,AND(Resumen!$B$15="La cursada aprobada",COUNTIFS($F$2:$F$46,O14,$Q$2:$Q$46,"Cursada aprobada")&gt;0)),OR(P14="",COUNTIF($F$2:$F$46,P14)=0,COUNTIFS($F$2:$F$46,P14,$Q$2:$Q$46,"Aprobada")&gt;0,AND(Resumen!$B$15="La cursada aprobada",COUNTIFS($F$2:$F$46,P14,$Q$2:$Q$46,"Cursada aprobada")&gt;0))),"Sí","No")))</f>
        <v>Sí</v>
      </c>
      <c r="S14" s="8" t="str">
        <f aca="false">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</f>
        <v/>
      </c>
      <c r="T14" s="9" t="str">
        <f aca="false">IF(Q14="Cursada aprobada",IF(AND(OR(L14="",COUNTIF($F$2:$F$46,L14)=0,COUNTIFS($F$2:$F$46,L14,$Q$2:$Q$46,"Aprobada")&gt;0),OR(M14="",COUNTIF($F$2:$F$46,M14)=0,COUNTIFS($F$2:$F$46,M14,$Q$2:$Q$46,"Aprobada")&gt;0),OR(N14="",COUNTIF($F$2:$F$46,N14)=0,COUNTIFS($F$2:$F$46,N14,$Q$2:$Q$46,"Aprobada")&gt;0),OR(O14="",COUNTIF($F$2:$F$46,O14)=0,COUNTIFS($F$2:$F$46,O14,$Q$2:$Q$46,"Aprobada")&gt;0),OR(P14="",COUNTIF($F$2:$F$46,P14)=0,COUNTIFS($F$2:$F$46,P14,$Q$2:$Q$46,"Aprobada")&gt;0)),"Sí","No"),"")</f>
        <v/>
      </c>
      <c r="U14" s="9" t="str">
        <f aca="false">IF(Q14="Aprobada",TRIM(IF(NOT(OR(L14="",COUNTIF($F$2:$F$46,L14)=0,COUNTIFS($F$2:$F$46,L14,$Q$2:$Q$46,"Aprobada")&gt;0)),L14&amp;" ","")&amp;IF(NOT(OR(M14="",COUNTIF($F$2:$F$46,M14)=0,COUNTIFS($F$2:$F$46,M14,$Q$2:$Q$46,"Aprobada")&gt;0)),M14&amp;" ","")&amp;IF(NOT(OR(N14="",COUNTIF($F$2:$F$46,N14)=0,COUNTIFS($F$2:$F$46,N14,$Q$2:$Q$46,"Aprobada")&gt;0)),N14&amp;" ","")&amp;IF(NOT(OR(O14="",COUNTIF($F$2:$F$46,O14)=0,COUNTIFS($F$2:$F$46,O14,$Q$2:$Q$46,"Aprobada")&gt;0)),O14&amp;" ","")&amp;IF(NOT(OR(P14="",COUNTIF($F$2:$F$46,P14)=0,COUNTIFS($F$2:$F$46,P14,$Q$2:$Q$46,"Aprobada")&gt;0)),P14&amp;" ","")),IF(Q14="Cursada aprobada",TRIM(IF(NOT(OR(L14="",COUNTIF($F$2:$F$46,L14)=0,COUNTIFS($F$2:$F$46,L14,$Q$2:$Q$46,"Aprobada")&gt;0,AND(Resumen!$B$15="La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","")),""))</f>
        <v/>
      </c>
    </row>
    <row r="15" customFormat="false" ht="15" hidden="false" customHeight="false" outlineLevel="0" collapsed="false">
      <c r="A15" s="8" t="s">
        <v>83</v>
      </c>
      <c r="B15" s="8"/>
      <c r="C15" s="9" t="n">
        <v>3</v>
      </c>
      <c r="D15" s="9" t="n">
        <v>1</v>
      </c>
      <c r="E15" s="9" t="s">
        <v>65</v>
      </c>
      <c r="F15" s="9" t="n">
        <v>424</v>
      </c>
      <c r="G15" s="8" t="s">
        <v>86</v>
      </c>
      <c r="H15" s="9" t="s">
        <v>61</v>
      </c>
      <c r="I15" s="9" t="n">
        <v>5</v>
      </c>
      <c r="J15" s="9"/>
      <c r="K15" s="9" t="n">
        <v>80</v>
      </c>
      <c r="L15" s="9" t="n">
        <v>108</v>
      </c>
      <c r="M15" s="9"/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cursada",IF(AND(OR(L15="",COUNTIF($F$2:$F$46,L15)=0,COUNTIFS($F$2:$F$46,L15,$Q$2:$Q$46,"Aprobada")&gt;0,AND(Resumen!$B$15="La cursada aprobada",COUNTIFS($F$2:$F$46,L15,$Q$2:$Q$46,"Cursada aprobada")&gt;0)),OR(M15="",COUNTIF($F$2:$F$46,M15)=0,COUNTIFS($F$2:$F$46,M15,$Q$2:$Q$46,"Aprobada")&gt;0,AND(Resumen!$B$15="La cursada aprobada",COUNTIFS($F$2:$F$46,M15,$Q$2:$Q$46,"Cursada aprobada")&gt;0)),OR(N15="",COUNTIF($F$2:$F$46,N15)=0,COUNTIFS($F$2:$F$46,N15,$Q$2:$Q$46,"Aprobada")&gt;0,AND(Resumen!$B$15="La cursada aprobada",COUNTIFS($F$2:$F$46,N15,$Q$2:$Q$46,"Cursada aprobada")&gt;0)),OR(O15="",COUNTIF($F$2:$F$46,O15)=0,COUNTIFS($F$2:$F$46,O15,$Q$2:$Q$46,"Aprobada")&gt;0,AND(Resumen!$B$15="La cursada aprobada",COUNTIFS($F$2:$F$46,O15,$Q$2:$Q$46,"Cursada aprobada")&gt;0)),OR(P15="",COUNTIF($F$2:$F$46,P15)=0,COUNTIFS($F$2:$F$46,P15,$Q$2:$Q$46,"Aprobada")&gt;0,AND(Resumen!$B$15="La cursada aprobada",COUNTIFS($F$2:$F$46,P15,$Q$2:$Q$46,"Cursada aprobada")&gt;0))),"Sí","No")))</f>
        <v>No</v>
      </c>
      <c r="S15" s="8" t="str">
        <f aca="false">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</f>
        <v>108</v>
      </c>
      <c r="T15" s="9" t="str">
        <f aca="false">IF(Q15="Cursada aprobada",IF(AND(OR(L15="",COUNTIF($F$2:$F$46,L15)=0,COUNTIFS($F$2:$F$46,L15,$Q$2:$Q$46,"Aprobada")&gt;0),OR(M15="",COUNTIF($F$2:$F$46,M15)=0,COUNTIFS($F$2:$F$46,M15,$Q$2:$Q$46,"Aprobada")&gt;0),OR(N15="",COUNTIF($F$2:$F$46,N15)=0,COUNTIFS($F$2:$F$46,N15,$Q$2:$Q$46,"Aprobada")&gt;0),OR(O15="",COUNTIF($F$2:$F$46,O15)=0,COUNTIFS($F$2:$F$46,O15,$Q$2:$Q$46,"Aprobada")&gt;0),OR(P15="",COUNTIF($F$2:$F$46,P15)=0,COUNTIFS($F$2:$F$46,P15,$Q$2:$Q$46,"Aprobada")&gt;0)),"Sí","No"),"")</f>
        <v/>
      </c>
      <c r="U15" s="9" t="str">
        <f aca="false">IF(Q15="Aprobada",TRIM(IF(NOT(OR(L15="",COUNTIF($F$2:$F$46,L15)=0,COUNTIFS($F$2:$F$46,L15,$Q$2:$Q$46,"Aprobada")&gt;0)),L15&amp;" ","")&amp;IF(NOT(OR(M15="",COUNTIF($F$2:$F$46,M15)=0,COUNTIFS($F$2:$F$46,M15,$Q$2:$Q$46,"Aprobada")&gt;0)),M15&amp;" ","")&amp;IF(NOT(OR(N15="",COUNTIF($F$2:$F$46,N15)=0,COUNTIFS($F$2:$F$46,N15,$Q$2:$Q$46,"Aprobada")&gt;0)),N15&amp;" ","")&amp;IF(NOT(OR(O15="",COUNTIF($F$2:$F$46,O15)=0,COUNTIFS($F$2:$F$46,O15,$Q$2:$Q$46,"Aprobada")&gt;0)),O15&amp;" ","")&amp;IF(NOT(OR(P15="",COUNTIF($F$2:$F$46,P15)=0,COUNTIFS($F$2:$F$46,P15,$Q$2:$Q$46,"Aprobada")&gt;0)),P15&amp;" ","")),IF(Q15="Cursada aprobada",TRIM(IF(NOT(OR(L15="",COUNTIF($F$2:$F$46,L15)=0,COUNTIFS($F$2:$F$46,L15,$Q$2:$Q$46,"Aprobada")&gt;0,AND(Resumen!$B$15="La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","")),""))</f>
        <v/>
      </c>
    </row>
    <row r="16" customFormat="false" ht="15" hidden="false" customHeight="false" outlineLevel="0" collapsed="false">
      <c r="A16" s="8" t="s">
        <v>83</v>
      </c>
      <c r="B16" s="8"/>
      <c r="C16" s="9" t="n">
        <v>3</v>
      </c>
      <c r="D16" s="9" t="n">
        <v>1</v>
      </c>
      <c r="E16" s="9" t="s">
        <v>65</v>
      </c>
      <c r="F16" s="9" t="n">
        <v>328</v>
      </c>
      <c r="G16" s="8" t="s">
        <v>152</v>
      </c>
      <c r="H16" s="9" t="s">
        <v>61</v>
      </c>
      <c r="I16" s="9" t="n">
        <v>6</v>
      </c>
      <c r="J16" s="9"/>
      <c r="K16" s="9" t="n">
        <v>96</v>
      </c>
      <c r="L16" s="9" t="n">
        <v>108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cursada",IF(AND(OR(L16="",COUNTIF($F$2:$F$46,L16)=0,COUNTIFS($F$2:$F$46,L16,$Q$2:$Q$46,"Aprobada")&gt;0,AND(Resumen!$B$15="La cursada aprobada",COUNTIFS($F$2:$F$46,L16,$Q$2:$Q$46,"Cursada aprobada")&gt;0)),OR(M16="",COUNTIF($F$2:$F$46,M16)=0,COUNTIFS($F$2:$F$46,M16,$Q$2:$Q$46,"Aprobada")&gt;0,AND(Resumen!$B$15="La cursada aprobada",COUNTIFS($F$2:$F$46,M16,$Q$2:$Q$46,"Cursada aprobada")&gt;0)),OR(N16="",COUNTIF($F$2:$F$46,N16)=0,COUNTIFS($F$2:$F$46,N16,$Q$2:$Q$46,"Aprobada")&gt;0,AND(Resumen!$B$15="La cursada aprobada",COUNTIFS($F$2:$F$46,N16,$Q$2:$Q$46,"Cursada aprobada")&gt;0)),OR(O16="",COUNTIF($F$2:$F$46,O16)=0,COUNTIFS($F$2:$F$46,O16,$Q$2:$Q$46,"Aprobada")&gt;0,AND(Resumen!$B$15="La cursada aprobada",COUNTIFS($F$2:$F$46,O16,$Q$2:$Q$46,"Cursada aprobada")&gt;0)),OR(P16="",COUNTIF($F$2:$F$46,P16)=0,COUNTIFS($F$2:$F$46,P16,$Q$2:$Q$46,"Aprobada")&gt;0,AND(Resumen!$B$15="La cursada aprobada",COUNTIFS($F$2:$F$46,P16,$Q$2:$Q$46,"Cursada aprobada")&gt;0))),"Sí","No")))</f>
        <v>No</v>
      </c>
      <c r="S16" s="8" t="str">
        <f aca="false">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</f>
        <v>108</v>
      </c>
      <c r="T16" s="9" t="str">
        <f aca="false">IF(Q16="Cursada aprobada",IF(AND(OR(L16="",COUNTIF($F$2:$F$46,L16)=0,COUNTIFS($F$2:$F$46,L16,$Q$2:$Q$46,"Aprobada")&gt;0),OR(M16="",COUNTIF($F$2:$F$46,M16)=0,COUNTIFS($F$2:$F$46,M16,$Q$2:$Q$46,"Aprobada")&gt;0),OR(N16="",COUNTIF($F$2:$F$46,N16)=0,COUNTIFS($F$2:$F$46,N16,$Q$2:$Q$46,"Aprobada")&gt;0),OR(O16="",COUNTIF($F$2:$F$46,O16)=0,COUNTIFS($F$2:$F$46,O16,$Q$2:$Q$46,"Aprobada")&gt;0),OR(P16="",COUNTIF($F$2:$F$46,P16)=0,COUNTIFS($F$2:$F$46,P16,$Q$2:$Q$46,"Aprobada")&gt;0)),"Sí","No"),"")</f>
        <v/>
      </c>
      <c r="U16" s="9" t="str">
        <f aca="false">IF(Q16="Aprobada",TRIM(IF(NOT(OR(L16="",COUNTIF($F$2:$F$46,L16)=0,COUNTIFS($F$2:$F$46,L16,$Q$2:$Q$46,"Aprobada")&gt;0)),L16&amp;" ","")&amp;IF(NOT(OR(M16="",COUNTIF($F$2:$F$46,M16)=0,COUNTIFS($F$2:$F$46,M16,$Q$2:$Q$46,"Aprobada")&gt;0)),M16&amp;" ","")&amp;IF(NOT(OR(N16="",COUNTIF($F$2:$F$46,N16)=0,COUNTIFS($F$2:$F$46,N16,$Q$2:$Q$46,"Aprobada")&gt;0)),N16&amp;" ","")&amp;IF(NOT(OR(O16="",COUNTIF($F$2:$F$46,O16)=0,COUNTIFS($F$2:$F$46,O16,$Q$2:$Q$46,"Aprobada")&gt;0)),O16&amp;" ","")&amp;IF(NOT(OR(P16="",COUNTIF($F$2:$F$46,P16)=0,COUNTIFS($F$2:$F$46,P16,$Q$2:$Q$46,"Aprobada")&gt;0)),P16&amp;" ","")),IF(Q16="Cursada aprobada",TRIM(IF(NOT(OR(L16="",COUNTIF($F$2:$F$46,L16)=0,COUNTIFS($F$2:$F$46,L16,$Q$2:$Q$46,"Aprobada")&gt;0,AND(Resumen!$B$15="La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","")),""))</f>
        <v/>
      </c>
    </row>
    <row r="17" customFormat="false" ht="15" hidden="false" customHeight="false" outlineLevel="0" collapsed="false">
      <c r="A17" s="8" t="s">
        <v>83</v>
      </c>
      <c r="B17" s="8"/>
      <c r="C17" s="9" t="n">
        <v>3</v>
      </c>
      <c r="D17" s="9" t="n">
        <v>1</v>
      </c>
      <c r="E17" s="9" t="s">
        <v>69</v>
      </c>
      <c r="F17" s="9" t="n">
        <v>356</v>
      </c>
      <c r="G17" s="8" t="s">
        <v>153</v>
      </c>
      <c r="H17" s="9" t="s">
        <v>92</v>
      </c>
      <c r="I17" s="9" t="n">
        <v>4</v>
      </c>
      <c r="J17" s="9"/>
      <c r="K17" s="9" t="n">
        <v>64</v>
      </c>
      <c r="L17" s="9"/>
      <c r="M17" s="9"/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cursada",IF(AND(OR(L17="",COUNTIF($F$2:$F$46,L17)=0,COUNTIFS($F$2:$F$46,L17,$Q$2:$Q$46,"Aprobada")&gt;0,AND(Resumen!$B$15="La cursada aprobada",COUNTIFS($F$2:$F$46,L17,$Q$2:$Q$46,"Cursada aprobada")&gt;0)),OR(M17="",COUNTIF($F$2:$F$46,M17)=0,COUNTIFS($F$2:$F$46,M17,$Q$2:$Q$46,"Aprobada")&gt;0,AND(Resumen!$B$15="La cursada aprobada",COUNTIFS($F$2:$F$46,M17,$Q$2:$Q$46,"Cursada aprobada")&gt;0)),OR(N17="",COUNTIF($F$2:$F$46,N17)=0,COUNTIFS($F$2:$F$46,N17,$Q$2:$Q$46,"Aprobada")&gt;0,AND(Resumen!$B$15="La cursada aprobada",COUNTIFS($F$2:$F$46,N17,$Q$2:$Q$46,"Cursada aprobada")&gt;0)),OR(O17="",COUNTIF($F$2:$F$46,O17)=0,COUNTIFS($F$2:$F$46,O17,$Q$2:$Q$46,"Aprobada")&gt;0,AND(Resumen!$B$15="La cursada aprobada",COUNTIFS($F$2:$F$46,O17,$Q$2:$Q$46,"Cursada aprobada")&gt;0)),OR(P17="",COUNTIF($F$2:$F$46,P17)=0,COUNTIFS($F$2:$F$46,P17,$Q$2:$Q$46,"Aprobada")&gt;0,AND(Resumen!$B$15="La cursada aprobada",COUNTIFS($F$2:$F$46,P17,$Q$2:$Q$46,"Cursada aprobada")&gt;0))),"Sí","No")))</f>
        <v>Sí</v>
      </c>
      <c r="S17" s="8" t="str">
        <f aca="false">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</f>
        <v/>
      </c>
      <c r="T17" s="9" t="str">
        <f aca="false">IF(Q17="Cursada aprobada",IF(AND(OR(L17="",COUNTIF($F$2:$F$46,L17)=0,COUNTIFS($F$2:$F$46,L17,$Q$2:$Q$46,"Aprobada")&gt;0),OR(M17="",COUNTIF($F$2:$F$46,M17)=0,COUNTIFS($F$2:$F$46,M17,$Q$2:$Q$46,"Aprobada")&gt;0),OR(N17="",COUNTIF($F$2:$F$46,N17)=0,COUNTIFS($F$2:$F$46,N17,$Q$2:$Q$46,"Aprobada")&gt;0),OR(O17="",COUNTIF($F$2:$F$46,O17)=0,COUNTIFS($F$2:$F$46,O17,$Q$2:$Q$46,"Aprobada")&gt;0),OR(P17="",COUNTIF($F$2:$F$46,P17)=0,COUNTIFS($F$2:$F$46,P17,$Q$2:$Q$46,"Aprobada")&gt;0)),"Sí","No"),"")</f>
        <v/>
      </c>
      <c r="U17" s="9" t="str">
        <f aca="false">IF(Q17="Aprobada",TRIM(IF(NOT(OR(L17="",COUNTIF($F$2:$F$46,L17)=0,COUNTIFS($F$2:$F$46,L17,$Q$2:$Q$46,"Aprobada")&gt;0)),L17&amp;" ","")&amp;IF(NOT(OR(M17="",COUNTIF($F$2:$F$46,M17)=0,COUNTIFS($F$2:$F$46,M17,$Q$2:$Q$46,"Aprobada")&gt;0)),M17&amp;" ","")&amp;IF(NOT(OR(N17="",COUNTIF($F$2:$F$46,N17)=0,COUNTIFS($F$2:$F$46,N17,$Q$2:$Q$46,"Aprobada")&gt;0)),N17&amp;" ","")&amp;IF(NOT(OR(O17="",COUNTIF($F$2:$F$46,O17)=0,COUNTIFS($F$2:$F$46,O17,$Q$2:$Q$46,"Aprobada")&gt;0)),O17&amp;" ","")&amp;IF(NOT(OR(P17="",COUNTIF($F$2:$F$46,P17)=0,COUNTIFS($F$2:$F$46,P17,$Q$2:$Q$46,"Aprobada")&gt;0)),P17&amp;" ","")),IF(Q17="Cursada aprobada",TRIM(IF(NOT(OR(L17="",COUNTIF($F$2:$F$46,L17)=0,COUNTIFS($F$2:$F$46,L17,$Q$2:$Q$46,"Aprobada")&gt;0,AND(Resumen!$B$15="La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","")),""))</f>
        <v/>
      </c>
    </row>
    <row r="18" customFormat="false" ht="15" hidden="false" customHeight="false" outlineLevel="0" collapsed="false">
      <c r="A18" s="8" t="s">
        <v>83</v>
      </c>
      <c r="B18" s="8"/>
      <c r="C18" s="9" t="n">
        <v>3</v>
      </c>
      <c r="D18" s="9" t="n">
        <v>1</v>
      </c>
      <c r="E18" s="9" t="s">
        <v>77</v>
      </c>
      <c r="F18" s="9" t="n">
        <v>244</v>
      </c>
      <c r="G18" s="8" t="s">
        <v>132</v>
      </c>
      <c r="H18" s="9" t="s">
        <v>71</v>
      </c>
      <c r="I18" s="9" t="n">
        <v>4</v>
      </c>
      <c r="J18" s="9"/>
      <c r="K18" s="9" t="n">
        <v>64</v>
      </c>
      <c r="L18" s="9" t="n">
        <v>202</v>
      </c>
      <c r="M18" s="9" t="n">
        <v>307</v>
      </c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cursada",IF(AND(OR(L18="",COUNTIF($F$2:$F$46,L18)=0,COUNTIFS($F$2:$F$46,L18,$Q$2:$Q$46,"Aprobada")&gt;0,AND(Resumen!$B$15="La cursada aprobada",COUNTIFS($F$2:$F$46,L18,$Q$2:$Q$46,"Cursada aprobada")&gt;0)),OR(M18="",COUNTIF($F$2:$F$46,M18)=0,COUNTIFS($F$2:$F$46,M18,$Q$2:$Q$46,"Aprobada")&gt;0,AND(Resumen!$B$15="La cursada aprobada",COUNTIFS($F$2:$F$46,M18,$Q$2:$Q$46,"Cursada aprobada")&gt;0)),OR(N18="",COUNTIF($F$2:$F$46,N18)=0,COUNTIFS($F$2:$F$46,N18,$Q$2:$Q$46,"Aprobada")&gt;0,AND(Resumen!$B$15="La cursada aprobada",COUNTIFS($F$2:$F$46,N18,$Q$2:$Q$46,"Cursada aprobada")&gt;0)),OR(O18="",COUNTIF($F$2:$F$46,O18)=0,COUNTIFS($F$2:$F$46,O18,$Q$2:$Q$46,"Aprobada")&gt;0,AND(Resumen!$B$15="La cursada aprobada",COUNTIFS($F$2:$F$46,O18,$Q$2:$Q$46,"Cursada aprobada")&gt;0)),OR(P18="",COUNTIF($F$2:$F$46,P18)=0,COUNTIFS($F$2:$F$46,P18,$Q$2:$Q$46,"Aprobada")&gt;0,AND(Resumen!$B$15="La cursada aprobada",COUNTIFS($F$2:$F$46,P18,$Q$2:$Q$46,"Cursada aprobada")&gt;0))),"Sí","No")))</f>
        <v>No</v>
      </c>
      <c r="S18" s="8" t="str">
        <f aca="false">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</f>
        <v>202 307</v>
      </c>
      <c r="T18" s="9" t="str">
        <f aca="false">IF(Q18="Cursada aprobada",IF(AND(OR(L18="",COUNTIF($F$2:$F$46,L18)=0,COUNTIFS($F$2:$F$46,L18,$Q$2:$Q$46,"Aprobada")&gt;0),OR(M18="",COUNTIF($F$2:$F$46,M18)=0,COUNTIFS($F$2:$F$46,M18,$Q$2:$Q$46,"Aprobada")&gt;0),OR(N18="",COUNTIF($F$2:$F$46,N18)=0,COUNTIFS($F$2:$F$46,N18,$Q$2:$Q$46,"Aprobada")&gt;0),OR(O18="",COUNTIF($F$2:$F$46,O18)=0,COUNTIFS($F$2:$F$46,O18,$Q$2:$Q$46,"Aprobada")&gt;0),OR(P18="",COUNTIF($F$2:$F$46,P18)=0,COUNTIFS($F$2:$F$46,P18,$Q$2:$Q$46,"Aprobada")&gt;0)),"Sí","No"),"")</f>
        <v/>
      </c>
      <c r="U18" s="9" t="str">
        <f aca="false">IF(Q18="Aprobada",TRIM(IF(NOT(OR(L18="",COUNTIF($F$2:$F$46,L18)=0,COUNTIFS($F$2:$F$46,L18,$Q$2:$Q$46,"Aprobada")&gt;0)),L18&amp;" ","")&amp;IF(NOT(OR(M18="",COUNTIF($F$2:$F$46,M18)=0,COUNTIFS($F$2:$F$46,M18,$Q$2:$Q$46,"Aprobada")&gt;0)),M18&amp;" ","")&amp;IF(NOT(OR(N18="",COUNTIF($F$2:$F$46,N18)=0,COUNTIFS($F$2:$F$46,N18,$Q$2:$Q$46,"Aprobada")&gt;0)),N18&amp;" ","")&amp;IF(NOT(OR(O18="",COUNTIF($F$2:$F$46,O18)=0,COUNTIFS($F$2:$F$46,O18,$Q$2:$Q$46,"Aprobada")&gt;0)),O18&amp;" ","")&amp;IF(NOT(OR(P18="",COUNTIF($F$2:$F$46,P18)=0,COUNTIFS($F$2:$F$46,P18,$Q$2:$Q$46,"Aprobada")&gt;0)),P18&amp;" ","")),IF(Q18="Cursada aprobada",TRIM(IF(NOT(OR(L18="",COUNTIF($F$2:$F$46,L18)=0,COUNTIFS($F$2:$F$46,L18,$Q$2:$Q$46,"Aprobada")&gt;0,AND(Resumen!$B$15="La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","")),""))</f>
        <v/>
      </c>
    </row>
    <row r="19" customFormat="false" ht="15" hidden="false" customHeight="false" outlineLevel="0" collapsed="false">
      <c r="A19" s="8" t="s">
        <v>83</v>
      </c>
      <c r="B19" s="8"/>
      <c r="C19" s="9" t="n">
        <v>3</v>
      </c>
      <c r="D19" s="9" t="n">
        <v>2</v>
      </c>
      <c r="E19" s="9" t="s">
        <v>59</v>
      </c>
      <c r="F19" s="9" t="n">
        <v>448</v>
      </c>
      <c r="G19" s="8" t="s">
        <v>154</v>
      </c>
      <c r="H19" s="9" t="s">
        <v>61</v>
      </c>
      <c r="I19" s="9" t="n">
        <v>6</v>
      </c>
      <c r="J19" s="9"/>
      <c r="K19" s="9" t="n">
        <v>96</v>
      </c>
      <c r="L19" s="9" t="n">
        <v>314</v>
      </c>
      <c r="M19" s="9" t="n">
        <v>328</v>
      </c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cursada",IF(AND(OR(L19="",COUNTIF($F$2:$F$46,L19)=0,COUNTIFS($F$2:$F$46,L19,$Q$2:$Q$46,"Aprobada")&gt;0,AND(Resumen!$B$15="La cursada aprobada",COUNTIFS($F$2:$F$46,L19,$Q$2:$Q$46,"Cursada aprobada")&gt;0)),OR(M19="",COUNTIF($F$2:$F$46,M19)=0,COUNTIFS($F$2:$F$46,M19,$Q$2:$Q$46,"Aprobada")&gt;0,AND(Resumen!$B$15="La cursada aprobada",COUNTIFS($F$2:$F$46,M19,$Q$2:$Q$46,"Cursada aprobada")&gt;0)),OR(N19="",COUNTIF($F$2:$F$46,N19)=0,COUNTIFS($F$2:$F$46,N19,$Q$2:$Q$46,"Aprobada")&gt;0,AND(Resumen!$B$15="La cursada aprobada",COUNTIFS($F$2:$F$46,N19,$Q$2:$Q$46,"Cursada aprobada")&gt;0)),OR(O19="",COUNTIF($F$2:$F$46,O19)=0,COUNTIFS($F$2:$F$46,O19,$Q$2:$Q$46,"Aprobada")&gt;0,AND(Resumen!$B$15="La cursada aprobada",COUNTIFS($F$2:$F$46,O19,$Q$2:$Q$46,"Cursada aprobada")&gt;0)),OR(P19="",COUNTIF($F$2:$F$46,P19)=0,COUNTIFS($F$2:$F$46,P19,$Q$2:$Q$46,"Aprobada")&gt;0,AND(Resumen!$B$15="La cursada aprobada",COUNTIFS($F$2:$F$46,P19,$Q$2:$Q$46,"Cursada aprobada")&gt;0))),"Sí","No")))</f>
        <v>No</v>
      </c>
      <c r="S19" s="8" t="str">
        <f aca="false">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</f>
        <v>314 328</v>
      </c>
      <c r="T19" s="9" t="str">
        <f aca="false">IF(Q19="Cursada aprobada",IF(AND(OR(L19="",COUNTIF($F$2:$F$46,L19)=0,COUNTIFS($F$2:$F$46,L19,$Q$2:$Q$46,"Aprobada")&gt;0),OR(M19="",COUNTIF($F$2:$F$46,M19)=0,COUNTIFS($F$2:$F$46,M19,$Q$2:$Q$46,"Aprobada")&gt;0),OR(N19="",COUNTIF($F$2:$F$46,N19)=0,COUNTIFS($F$2:$F$46,N19,$Q$2:$Q$46,"Aprobada")&gt;0),OR(O19="",COUNTIF($F$2:$F$46,O19)=0,COUNTIFS($F$2:$F$46,O19,$Q$2:$Q$46,"Aprobada")&gt;0),OR(P19="",COUNTIF($F$2:$F$46,P19)=0,COUNTIFS($F$2:$F$46,P19,$Q$2:$Q$46,"Aprobada")&gt;0)),"Sí","No"),"")</f>
        <v/>
      </c>
      <c r="U19" s="9" t="str">
        <f aca="false">IF(Q19="Aprobada",TRIM(IF(NOT(OR(L19="",COUNTIF($F$2:$F$46,L19)=0,COUNTIFS($F$2:$F$46,L19,$Q$2:$Q$46,"Aprobada")&gt;0)),L19&amp;" ","")&amp;IF(NOT(OR(M19="",COUNTIF($F$2:$F$46,M19)=0,COUNTIFS($F$2:$F$46,M19,$Q$2:$Q$46,"Aprobada")&gt;0)),M19&amp;" ","")&amp;IF(NOT(OR(N19="",COUNTIF($F$2:$F$46,N19)=0,COUNTIFS($F$2:$F$46,N19,$Q$2:$Q$46,"Aprobada")&gt;0)),N19&amp;" ","")&amp;IF(NOT(OR(O19="",COUNTIF($F$2:$F$46,O19)=0,COUNTIFS($F$2:$F$46,O19,$Q$2:$Q$46,"Aprobada")&gt;0)),O19&amp;" ","")&amp;IF(NOT(OR(P19="",COUNTIF($F$2:$F$46,P19)=0,COUNTIFS($F$2:$F$46,P19,$Q$2:$Q$46,"Aprobada")&gt;0)),P19&amp;" ","")),IF(Q19="Cursada aprobada",TRIM(IF(NOT(OR(L19="",COUNTIF($F$2:$F$46,L19)=0,COUNTIFS($F$2:$F$46,L19,$Q$2:$Q$46,"Aprobada")&gt;0,AND(Resumen!$B$15="La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","")),""))</f>
        <v/>
      </c>
    </row>
    <row r="20" customFormat="false" ht="15" hidden="false" customHeight="false" outlineLevel="0" collapsed="false">
      <c r="A20" s="8" t="s">
        <v>83</v>
      </c>
      <c r="B20" s="8"/>
      <c r="C20" s="9" t="n">
        <v>3</v>
      </c>
      <c r="D20" s="9" t="n">
        <v>2</v>
      </c>
      <c r="E20" s="9" t="s">
        <v>59</v>
      </c>
      <c r="F20" s="9" t="n">
        <v>346</v>
      </c>
      <c r="G20" s="8" t="s">
        <v>155</v>
      </c>
      <c r="H20" s="9" t="s">
        <v>61</v>
      </c>
      <c r="I20" s="9" t="n">
        <v>6</v>
      </c>
      <c r="J20" s="9"/>
      <c r="K20" s="9" t="n">
        <v>96</v>
      </c>
      <c r="L20" s="9" t="n">
        <v>208</v>
      </c>
      <c r="M20" s="9" t="n">
        <v>328</v>
      </c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cursada",IF(AND(OR(L20="",COUNTIF($F$2:$F$46,L20)=0,COUNTIFS($F$2:$F$46,L20,$Q$2:$Q$46,"Aprobada")&gt;0,AND(Resumen!$B$15="La cursada aprobada",COUNTIFS($F$2:$F$46,L20,$Q$2:$Q$46,"Cursada aprobada")&gt;0)),OR(M20="",COUNTIF($F$2:$F$46,M20)=0,COUNTIFS($F$2:$F$46,M20,$Q$2:$Q$46,"Aprobada")&gt;0,AND(Resumen!$B$15="La cursada aprobada",COUNTIFS($F$2:$F$46,M20,$Q$2:$Q$46,"Cursada aprobada")&gt;0)),OR(N20="",COUNTIF($F$2:$F$46,N20)=0,COUNTIFS($F$2:$F$46,N20,$Q$2:$Q$46,"Aprobada")&gt;0,AND(Resumen!$B$15="La cursada aprobada",COUNTIFS($F$2:$F$46,N20,$Q$2:$Q$46,"Cursada aprobada")&gt;0)),OR(O20="",COUNTIF($F$2:$F$46,O20)=0,COUNTIFS($F$2:$F$46,O20,$Q$2:$Q$46,"Aprobada")&gt;0,AND(Resumen!$B$15="La cursada aprobada",COUNTIFS($F$2:$F$46,O20,$Q$2:$Q$46,"Cursada aprobada")&gt;0)),OR(P20="",COUNTIF($F$2:$F$46,P20)=0,COUNTIFS($F$2:$F$46,P20,$Q$2:$Q$46,"Aprobada")&gt;0,AND(Resumen!$B$15="La cursada aprobada",COUNTIFS($F$2:$F$46,P20,$Q$2:$Q$46,"Cursada aprobada")&gt;0))),"Sí","No")))</f>
        <v>No</v>
      </c>
      <c r="S20" s="8" t="str">
        <f aca="false">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</f>
        <v>208 328</v>
      </c>
      <c r="T20" s="9" t="str">
        <f aca="false">IF(Q20="Cursada aprobada",IF(AND(OR(L20="",COUNTIF($F$2:$F$46,L20)=0,COUNTIFS($F$2:$F$46,L20,$Q$2:$Q$46,"Aprobada")&gt;0),OR(M20="",COUNTIF($F$2:$F$46,M20)=0,COUNTIFS($F$2:$F$46,M20,$Q$2:$Q$46,"Aprobada")&gt;0),OR(N20="",COUNTIF($F$2:$F$46,N20)=0,COUNTIFS($F$2:$F$46,N20,$Q$2:$Q$46,"Aprobada")&gt;0),OR(O20="",COUNTIF($F$2:$F$46,O20)=0,COUNTIFS($F$2:$F$46,O20,$Q$2:$Q$46,"Aprobada")&gt;0),OR(P20="",COUNTIF($F$2:$F$46,P20)=0,COUNTIFS($F$2:$F$46,P20,$Q$2:$Q$46,"Aprobada")&gt;0)),"Sí","No"),"")</f>
        <v/>
      </c>
      <c r="U20" s="9" t="str">
        <f aca="false">IF(Q20="Aprobada",TRIM(IF(NOT(OR(L20="",COUNTIF($F$2:$F$46,L20)=0,COUNTIFS($F$2:$F$46,L20,$Q$2:$Q$46,"Aprobada")&gt;0)),L20&amp;" ","")&amp;IF(NOT(OR(M20="",COUNTIF($F$2:$F$46,M20)=0,COUNTIFS($F$2:$F$46,M20,$Q$2:$Q$46,"Aprobada")&gt;0)),M20&amp;" ","")&amp;IF(NOT(OR(N20="",COUNTIF($F$2:$F$46,N20)=0,COUNTIFS($F$2:$F$46,N20,$Q$2:$Q$46,"Aprobada")&gt;0)),N20&amp;" ","")&amp;IF(NOT(OR(O20="",COUNTIF($F$2:$F$46,O20)=0,COUNTIFS($F$2:$F$46,O20,$Q$2:$Q$46,"Aprobada")&gt;0)),O20&amp;" ","")&amp;IF(NOT(OR(P20="",COUNTIF($F$2:$F$46,P20)=0,COUNTIFS($F$2:$F$46,P20,$Q$2:$Q$46,"Aprobada")&gt;0)),P20&amp;" ","")),IF(Q20="Cursada aprobada",TRIM(IF(NOT(OR(L20="",COUNTIF($F$2:$F$46,L20)=0,COUNTIFS($F$2:$F$46,L20,$Q$2:$Q$46,"Aprobada")&gt;0,AND(Resumen!$B$15="La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","")),""))</f>
        <v/>
      </c>
    </row>
    <row r="21" customFormat="false" ht="15" hidden="false" customHeight="false" outlineLevel="0" collapsed="false">
      <c r="A21" s="8" t="s">
        <v>83</v>
      </c>
      <c r="B21" s="8"/>
      <c r="C21" s="9" t="n">
        <v>3</v>
      </c>
      <c r="D21" s="9" t="n">
        <v>2</v>
      </c>
      <c r="E21" s="9" t="s">
        <v>65</v>
      </c>
      <c r="F21" s="9" t="n">
        <v>302</v>
      </c>
      <c r="G21" s="8" t="s">
        <v>156</v>
      </c>
      <c r="H21" s="9" t="s">
        <v>61</v>
      </c>
      <c r="I21" s="9" t="n">
        <v>6</v>
      </c>
      <c r="J21" s="9"/>
      <c r="K21" s="9" t="n">
        <v>96</v>
      </c>
      <c r="L21" s="9" t="n">
        <v>206</v>
      </c>
      <c r="M21" s="9" t="n">
        <v>300</v>
      </c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cursada",IF(AND(OR(L21="",COUNTIF($F$2:$F$46,L21)=0,COUNTIFS($F$2:$F$46,L21,$Q$2:$Q$46,"Aprobada")&gt;0,AND(Resumen!$B$15="La cursada aprobada",COUNTIFS($F$2:$F$46,L21,$Q$2:$Q$46,"Cursada aprobada")&gt;0)),OR(M21="",COUNTIF($F$2:$F$46,M21)=0,COUNTIFS($F$2:$F$46,M21,$Q$2:$Q$46,"Aprobada")&gt;0,AND(Resumen!$B$15="La cursada aprobada",COUNTIFS($F$2:$F$46,M21,$Q$2:$Q$46,"Cursada aprobada")&gt;0)),OR(N21="",COUNTIF($F$2:$F$46,N21)=0,COUNTIFS($F$2:$F$46,N21,$Q$2:$Q$46,"Aprobada")&gt;0,AND(Resumen!$B$15="La cursada aprobada",COUNTIFS($F$2:$F$46,N21,$Q$2:$Q$46,"Cursada aprobada")&gt;0)),OR(O21="",COUNTIF($F$2:$F$46,O21)=0,COUNTIFS($F$2:$F$46,O21,$Q$2:$Q$46,"Aprobada")&gt;0,AND(Resumen!$B$15="La cursada aprobada",COUNTIFS($F$2:$F$46,O21,$Q$2:$Q$46,"Cursada aprobada")&gt;0)),OR(P21="",COUNTIF($F$2:$F$46,P21)=0,COUNTIFS($F$2:$F$46,P21,$Q$2:$Q$46,"Aprobada")&gt;0,AND(Resumen!$B$15="La cursada aprobada",COUNTIFS($F$2:$F$46,P21,$Q$2:$Q$46,"Cursada aprobada")&gt;0))),"Sí","No")))</f>
        <v>No</v>
      </c>
      <c r="S21" s="8" t="str">
        <f aca="false">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</f>
        <v>206 300</v>
      </c>
      <c r="T21" s="9" t="str">
        <f aca="false">IF(Q21="Cursada aprobada",IF(AND(OR(L21="",COUNTIF($F$2:$F$46,L21)=0,COUNTIFS($F$2:$F$46,L21,$Q$2:$Q$46,"Aprobada")&gt;0),OR(M21="",COUNTIF($F$2:$F$46,M21)=0,COUNTIFS($F$2:$F$46,M21,$Q$2:$Q$46,"Aprobada")&gt;0),OR(N21="",COUNTIF($F$2:$F$46,N21)=0,COUNTIFS($F$2:$F$46,N21,$Q$2:$Q$46,"Aprobada")&gt;0),OR(O21="",COUNTIF($F$2:$F$46,O21)=0,COUNTIFS($F$2:$F$46,O21,$Q$2:$Q$46,"Aprobada")&gt;0),OR(P21="",COUNTIF($F$2:$F$46,P21)=0,COUNTIFS($F$2:$F$46,P21,$Q$2:$Q$46,"Aprobada")&gt;0)),"Sí","No"),"")</f>
        <v/>
      </c>
      <c r="U21" s="9" t="str">
        <f aca="false">IF(Q21="Aprobada",TRIM(IF(NOT(OR(L21="",COUNTIF($F$2:$F$46,L21)=0,COUNTIFS($F$2:$F$46,L21,$Q$2:$Q$46,"Aprobada")&gt;0)),L21&amp;" ","")&amp;IF(NOT(OR(M21="",COUNTIF($F$2:$F$46,M21)=0,COUNTIFS($F$2:$F$46,M21,$Q$2:$Q$46,"Aprobada")&gt;0)),M21&amp;" ","")&amp;IF(NOT(OR(N21="",COUNTIF($F$2:$F$46,N21)=0,COUNTIFS($F$2:$F$46,N21,$Q$2:$Q$46,"Aprobada")&gt;0)),N21&amp;" ","")&amp;IF(NOT(OR(O21="",COUNTIF($F$2:$F$46,O21)=0,COUNTIFS($F$2:$F$46,O21,$Q$2:$Q$46,"Aprobada")&gt;0)),O21&amp;" ","")&amp;IF(NOT(OR(P21="",COUNTIF($F$2:$F$46,P21)=0,COUNTIFS($F$2:$F$46,P21,$Q$2:$Q$46,"Aprobada")&gt;0)),P21&amp;" ","")),IF(Q21="Cursada aprobada",TRIM(IF(NOT(OR(L21="",COUNTIF($F$2:$F$46,L21)=0,COUNTIFS($F$2:$F$46,L21,$Q$2:$Q$46,"Aprobada")&gt;0,AND(Resumen!$B$15="La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","")),""))</f>
        <v/>
      </c>
    </row>
    <row r="22" customFormat="false" ht="15" hidden="false" customHeight="false" outlineLevel="0" collapsed="false">
      <c r="A22" s="8" t="s">
        <v>83</v>
      </c>
      <c r="B22" s="8"/>
      <c r="C22" s="9" t="n">
        <v>3</v>
      </c>
      <c r="D22" s="9" t="n">
        <v>2</v>
      </c>
      <c r="E22" s="9" t="s">
        <v>99</v>
      </c>
      <c r="F22" s="9" t="n">
        <v>499</v>
      </c>
      <c r="G22" s="8" t="s">
        <v>100</v>
      </c>
      <c r="H22" s="9" t="s">
        <v>92</v>
      </c>
      <c r="I22" s="9" t="n">
        <v>2</v>
      </c>
      <c r="J22" s="9"/>
      <c r="K22" s="9" t="n">
        <v>32</v>
      </c>
      <c r="L22" s="9"/>
      <c r="M22" s="9"/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cursada",IF(AND(OR(L22="",COUNTIF($F$2:$F$46,L22)=0,COUNTIFS($F$2:$F$46,L22,$Q$2:$Q$46,"Aprobada")&gt;0,AND(Resumen!$B$15="La cursada aprobada",COUNTIFS($F$2:$F$46,L22,$Q$2:$Q$46,"Cursada aprobada")&gt;0)),OR(M22="",COUNTIF($F$2:$F$46,M22)=0,COUNTIFS($F$2:$F$46,M22,$Q$2:$Q$46,"Aprobada")&gt;0,AND(Resumen!$B$15="La cursada aprobada",COUNTIFS($F$2:$F$46,M22,$Q$2:$Q$46,"Cursada aprobada")&gt;0)),OR(N22="",COUNTIF($F$2:$F$46,N22)=0,COUNTIFS($F$2:$F$46,N22,$Q$2:$Q$46,"Aprobada")&gt;0,AND(Resumen!$B$15="La cursada aprobada",COUNTIFS($F$2:$F$46,N22,$Q$2:$Q$46,"Cursada aprobada")&gt;0)),OR(O22="",COUNTIF($F$2:$F$46,O22)=0,COUNTIFS($F$2:$F$46,O22,$Q$2:$Q$46,"Aprobada")&gt;0,AND(Resumen!$B$15="La cursada aprobada",COUNTIFS($F$2:$F$46,O22,$Q$2:$Q$46,"Cursada aprobada")&gt;0)),OR(P22="",COUNTIF($F$2:$F$46,P22)=0,COUNTIFS($F$2:$F$46,P22,$Q$2:$Q$46,"Aprobada")&gt;0,AND(Resumen!$B$15="La cursada aprobada",COUNTIFS($F$2:$F$46,P22,$Q$2:$Q$46,"Cursada aprobada")&gt;0))),"Sí","No")))</f>
        <v>Sí</v>
      </c>
      <c r="S22" s="8" t="str">
        <f aca="false">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</f>
        <v/>
      </c>
      <c r="T22" s="9" t="str">
        <f aca="false">IF(Q22="Cursada aprobada",IF(AND(OR(L22="",COUNTIF($F$2:$F$46,L22)=0,COUNTIFS($F$2:$F$46,L22,$Q$2:$Q$46,"Aprobada")&gt;0),OR(M22="",COUNTIF($F$2:$F$46,M22)=0,COUNTIFS($F$2:$F$46,M22,$Q$2:$Q$46,"Aprobada")&gt;0),OR(N22="",COUNTIF($F$2:$F$46,N22)=0,COUNTIFS($F$2:$F$46,N22,$Q$2:$Q$46,"Aprobada")&gt;0),OR(O22="",COUNTIF($F$2:$F$46,O22)=0,COUNTIFS($F$2:$F$46,O22,$Q$2:$Q$46,"Aprobada")&gt;0),OR(P22="",COUNTIF($F$2:$F$46,P22)=0,COUNTIFS($F$2:$F$46,P22,$Q$2:$Q$46,"Aprobada")&gt;0)),"Sí","No"),"")</f>
        <v/>
      </c>
      <c r="U22" s="9" t="str">
        <f aca="false">IF(Q22="Aprobada",TRIM(IF(NOT(OR(L22="",COUNTIF($F$2:$F$46,L22)=0,COUNTIFS($F$2:$F$46,L22,$Q$2:$Q$46,"Aprobada")&gt;0)),L22&amp;" ","")&amp;IF(NOT(OR(M22="",COUNTIF($F$2:$F$46,M22)=0,COUNTIFS($F$2:$F$46,M22,$Q$2:$Q$46,"Aprobada")&gt;0)),M22&amp;" ","")&amp;IF(NOT(OR(N22="",COUNTIF($F$2:$F$46,N22)=0,COUNTIFS($F$2:$F$46,N22,$Q$2:$Q$46,"Aprobada")&gt;0)),N22&amp;" ","")&amp;IF(NOT(OR(O22="",COUNTIF($F$2:$F$46,O22)=0,COUNTIFS($F$2:$F$46,O22,$Q$2:$Q$46,"Aprobada")&gt;0)),O22&amp;" ","")&amp;IF(NOT(OR(P22="",COUNTIF($F$2:$F$46,P22)=0,COUNTIFS($F$2:$F$46,P22,$Q$2:$Q$46,"Aprobada")&gt;0)),P22&amp;" ","")),IF(Q22="Cursada aprobada",TRIM(IF(NOT(OR(L22="",COUNTIF($F$2:$F$46,L22)=0,COUNTIFS($F$2:$F$46,L22,$Q$2:$Q$46,"Aprobada")&gt;0,AND(Resumen!$B$15="La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","")),""))</f>
        <v/>
      </c>
    </row>
    <row r="23" customFormat="false" ht="15" hidden="false" customHeight="false" outlineLevel="0" collapsed="false">
      <c r="A23" s="8" t="s">
        <v>83</v>
      </c>
      <c r="B23" s="8"/>
      <c r="C23" s="9" t="n">
        <v>4</v>
      </c>
      <c r="D23" s="9" t="n">
        <v>1</v>
      </c>
      <c r="E23" s="9" t="s">
        <v>63</v>
      </c>
      <c r="F23" s="9" t="n">
        <v>408</v>
      </c>
      <c r="G23" s="8" t="s">
        <v>157</v>
      </c>
      <c r="H23" s="9" t="s">
        <v>61</v>
      </c>
      <c r="I23" s="9" t="n">
        <v>6</v>
      </c>
      <c r="J23" s="9"/>
      <c r="K23" s="9" t="n">
        <v>96</v>
      </c>
      <c r="L23" s="9" t="n">
        <v>103</v>
      </c>
      <c r="M23" s="9" t="n">
        <v>424</v>
      </c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cursada",IF(AND(OR(L23="",COUNTIF($F$2:$F$46,L23)=0,COUNTIFS($F$2:$F$46,L23,$Q$2:$Q$46,"Aprobada")&gt;0,AND(Resumen!$B$15="La cursada aprobada",COUNTIFS($F$2:$F$46,L23,$Q$2:$Q$46,"Cursada aprobada")&gt;0)),OR(M23="",COUNTIF($F$2:$F$46,M23)=0,COUNTIFS($F$2:$F$46,M23,$Q$2:$Q$46,"Aprobada")&gt;0,AND(Resumen!$B$15="La cursada aprobada",COUNTIFS($F$2:$F$46,M23,$Q$2:$Q$46,"Cursada aprobada")&gt;0)),OR(N23="",COUNTIF($F$2:$F$46,N23)=0,COUNTIFS($F$2:$F$46,N23,$Q$2:$Q$46,"Aprobada")&gt;0,AND(Resumen!$B$15="La cursada aprobada",COUNTIFS($F$2:$F$46,N23,$Q$2:$Q$46,"Cursada aprobada")&gt;0)),OR(O23="",COUNTIF($F$2:$F$46,O23)=0,COUNTIFS($F$2:$F$46,O23,$Q$2:$Q$46,"Aprobada")&gt;0,AND(Resumen!$B$15="La cursada aprobada",COUNTIFS($F$2:$F$46,O23,$Q$2:$Q$46,"Cursada aprobada")&gt;0)),OR(P23="",COUNTIF($F$2:$F$46,P23)=0,COUNTIFS($F$2:$F$46,P23,$Q$2:$Q$46,"Aprobada")&gt;0,AND(Resumen!$B$15="La cursada aprobada",COUNTIFS($F$2:$F$46,P23,$Q$2:$Q$46,"Cursada aprobada")&gt;0))),"Sí","No")))</f>
        <v>No</v>
      </c>
      <c r="S23" s="8" t="str">
        <f aca="false">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</f>
        <v>103 424</v>
      </c>
      <c r="T23" s="9" t="str">
        <f aca="false">IF(Q23="Cursada aprobada",IF(AND(OR(L23="",COUNTIF($F$2:$F$46,L23)=0,COUNTIFS($F$2:$F$46,L23,$Q$2:$Q$46,"Aprobada")&gt;0),OR(M23="",COUNTIF($F$2:$F$46,M23)=0,COUNTIFS($F$2:$F$46,M23,$Q$2:$Q$46,"Aprobada")&gt;0),OR(N23="",COUNTIF($F$2:$F$46,N23)=0,COUNTIFS($F$2:$F$46,N23,$Q$2:$Q$46,"Aprobada")&gt;0),OR(O23="",COUNTIF($F$2:$F$46,O23)=0,COUNTIFS($F$2:$F$46,O23,$Q$2:$Q$46,"Aprobada")&gt;0),OR(P23="",COUNTIF($F$2:$F$46,P23)=0,COUNTIFS($F$2:$F$46,P23,$Q$2:$Q$46,"Aprobada")&gt;0)),"Sí","No"),"")</f>
        <v/>
      </c>
      <c r="U23" s="9" t="str">
        <f aca="false">IF(Q23="Aprobada",TRIM(IF(NOT(OR(L23="",COUNTIF($F$2:$F$46,L23)=0,COUNTIFS($F$2:$F$46,L23,$Q$2:$Q$46,"Aprobada")&gt;0)),L23&amp;" ","")&amp;IF(NOT(OR(M23="",COUNTIF($F$2:$F$46,M23)=0,COUNTIFS($F$2:$F$46,M23,$Q$2:$Q$46,"Aprobada")&gt;0)),M23&amp;" ","")&amp;IF(NOT(OR(N23="",COUNTIF($F$2:$F$46,N23)=0,COUNTIFS($F$2:$F$46,N23,$Q$2:$Q$46,"Aprobada")&gt;0)),N23&amp;" ","")&amp;IF(NOT(OR(O23="",COUNTIF($F$2:$F$46,O23)=0,COUNTIFS($F$2:$F$46,O23,$Q$2:$Q$46,"Aprobada")&gt;0)),O23&amp;" ","")&amp;IF(NOT(OR(P23="",COUNTIF($F$2:$F$46,P23)=0,COUNTIFS($F$2:$F$46,P23,$Q$2:$Q$46,"Aprobada")&gt;0)),P23&amp;" ","")),IF(Q23="Cursada aprobada",TRIM(IF(NOT(OR(L23="",COUNTIF($F$2:$F$46,L23)=0,COUNTIFS($F$2:$F$46,L23,$Q$2:$Q$46,"Aprobada")&gt;0,AND(Resumen!$B$15="La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","")),""))</f>
        <v/>
      </c>
    </row>
    <row r="24" customFormat="false" ht="15" hidden="false" customHeight="false" outlineLevel="0" collapsed="false">
      <c r="A24" s="8" t="s">
        <v>83</v>
      </c>
      <c r="B24" s="8"/>
      <c r="C24" s="9" t="n">
        <v>4</v>
      </c>
      <c r="D24" s="9" t="n">
        <v>1</v>
      </c>
      <c r="E24" s="9" t="s">
        <v>59</v>
      </c>
      <c r="F24" s="9" t="n">
        <v>418</v>
      </c>
      <c r="G24" s="8" t="s">
        <v>158</v>
      </c>
      <c r="H24" s="9" t="s">
        <v>61</v>
      </c>
      <c r="I24" s="9" t="n">
        <v>4</v>
      </c>
      <c r="J24" s="9"/>
      <c r="K24" s="9" t="n">
        <v>64</v>
      </c>
      <c r="L24" s="9" t="n">
        <v>448</v>
      </c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cursada",IF(AND(OR(L24="",COUNTIF($F$2:$F$46,L24)=0,COUNTIFS($F$2:$F$46,L24,$Q$2:$Q$46,"Aprobada")&gt;0,AND(Resumen!$B$15="La cursada aprobada",COUNTIFS($F$2:$F$46,L24,$Q$2:$Q$46,"Cursada aprobada")&gt;0)),OR(M24="",COUNTIF($F$2:$F$46,M24)=0,COUNTIFS($F$2:$F$46,M24,$Q$2:$Q$46,"Aprobada")&gt;0,AND(Resumen!$B$15="La cursada aprobada",COUNTIFS($F$2:$F$46,M24,$Q$2:$Q$46,"Cursada aprobada")&gt;0)),OR(N24="",COUNTIF($F$2:$F$46,N24)=0,COUNTIFS($F$2:$F$46,N24,$Q$2:$Q$46,"Aprobada")&gt;0,AND(Resumen!$B$15="La cursada aprobada",COUNTIFS($F$2:$F$46,N24,$Q$2:$Q$46,"Cursada aprobada")&gt;0)),OR(O24="",COUNTIF($F$2:$F$46,O24)=0,COUNTIFS($F$2:$F$46,O24,$Q$2:$Q$46,"Aprobada")&gt;0,AND(Resumen!$B$15="La cursada aprobada",COUNTIFS($F$2:$F$46,O24,$Q$2:$Q$46,"Cursada aprobada")&gt;0)),OR(P24="",COUNTIF($F$2:$F$46,P24)=0,COUNTIFS($F$2:$F$46,P24,$Q$2:$Q$46,"Aprobada")&gt;0,AND(Resumen!$B$15="La cursada aprobada",COUNTIFS($F$2:$F$46,P24,$Q$2:$Q$46,"Cursada aprobada")&gt;0))),"Sí","No")))</f>
        <v>No</v>
      </c>
      <c r="S24" s="8" t="str">
        <f aca="false">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</f>
        <v>448</v>
      </c>
      <c r="T24" s="9" t="str">
        <f aca="false">IF(Q24="Cursada aprobada",IF(AND(OR(L24="",COUNTIF($F$2:$F$46,L24)=0,COUNTIFS($F$2:$F$46,L24,$Q$2:$Q$46,"Aprobada")&gt;0),OR(M24="",COUNTIF($F$2:$F$46,M24)=0,COUNTIFS($F$2:$F$46,M24,$Q$2:$Q$46,"Aprobada")&gt;0),OR(N24="",COUNTIF($F$2:$F$46,N24)=0,COUNTIFS($F$2:$F$46,N24,$Q$2:$Q$46,"Aprobada")&gt;0),OR(O24="",COUNTIF($F$2:$F$46,O24)=0,COUNTIFS($F$2:$F$46,O24,$Q$2:$Q$46,"Aprobada")&gt;0),OR(P24="",COUNTIF($F$2:$F$46,P24)=0,COUNTIFS($F$2:$F$46,P24,$Q$2:$Q$46,"Aprobada")&gt;0)),"Sí","No"),"")</f>
        <v/>
      </c>
      <c r="U24" s="9" t="str">
        <f aca="false">IF(Q24="Aprobada",TRIM(IF(NOT(OR(L24="",COUNTIF($F$2:$F$46,L24)=0,COUNTIFS($F$2:$F$46,L24,$Q$2:$Q$46,"Aprobada")&gt;0)),L24&amp;" ","")&amp;IF(NOT(OR(M24="",COUNTIF($F$2:$F$46,M24)=0,COUNTIFS($F$2:$F$46,M24,$Q$2:$Q$46,"Aprobada")&gt;0)),M24&amp;" ","")&amp;IF(NOT(OR(N24="",COUNTIF($F$2:$F$46,N24)=0,COUNTIFS($F$2:$F$46,N24,$Q$2:$Q$46,"Aprobada")&gt;0)),N24&amp;" ","")&amp;IF(NOT(OR(O24="",COUNTIF($F$2:$F$46,O24)=0,COUNTIFS($F$2:$F$46,O24,$Q$2:$Q$46,"Aprobada")&gt;0)),O24&amp;" ","")&amp;IF(NOT(OR(P24="",COUNTIF($F$2:$F$46,P24)=0,COUNTIFS($F$2:$F$46,P24,$Q$2:$Q$46,"Aprobada")&gt;0)),P24&amp;" ","")),IF(Q24="Cursada aprobada",TRIM(IF(NOT(OR(L24="",COUNTIF($F$2:$F$46,L24)=0,COUNTIFS($F$2:$F$46,L24,$Q$2:$Q$46,"Aprobada")&gt;0,AND(Resumen!$B$15="La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","")),""))</f>
        <v/>
      </c>
    </row>
    <row r="25" customFormat="false" ht="15" hidden="false" customHeight="false" outlineLevel="0" collapsed="false">
      <c r="A25" s="8" t="s">
        <v>83</v>
      </c>
      <c r="B25" s="8"/>
      <c r="C25" s="9" t="n">
        <v>4</v>
      </c>
      <c r="D25" s="9" t="n">
        <v>1</v>
      </c>
      <c r="E25" s="9" t="s">
        <v>59</v>
      </c>
      <c r="F25" s="9" t="n">
        <v>407</v>
      </c>
      <c r="G25" s="8" t="s">
        <v>159</v>
      </c>
      <c r="H25" s="9" t="s">
        <v>61</v>
      </c>
      <c r="I25" s="9" t="n">
        <v>5</v>
      </c>
      <c r="J25" s="9"/>
      <c r="K25" s="9" t="n">
        <v>80</v>
      </c>
      <c r="L25" s="9" t="n">
        <v>448</v>
      </c>
      <c r="M25" s="9" t="n">
        <v>346</v>
      </c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cursada",IF(AND(OR(L25="",COUNTIF($F$2:$F$46,L25)=0,COUNTIFS($F$2:$F$46,L25,$Q$2:$Q$46,"Aprobada")&gt;0,AND(Resumen!$B$15="La cursada aprobada",COUNTIFS($F$2:$F$46,L25,$Q$2:$Q$46,"Cursada aprobada")&gt;0)),OR(M25="",COUNTIF($F$2:$F$46,M25)=0,COUNTIFS($F$2:$F$46,M25,$Q$2:$Q$46,"Aprobada")&gt;0,AND(Resumen!$B$15="La cursada aprobada",COUNTIFS($F$2:$F$46,M25,$Q$2:$Q$46,"Cursada aprobada")&gt;0)),OR(N25="",COUNTIF($F$2:$F$46,N25)=0,COUNTIFS($F$2:$F$46,N25,$Q$2:$Q$46,"Aprobada")&gt;0,AND(Resumen!$B$15="La cursada aprobada",COUNTIFS($F$2:$F$46,N25,$Q$2:$Q$46,"Cursada aprobada")&gt;0)),OR(O25="",COUNTIF($F$2:$F$46,O25)=0,COUNTIFS($F$2:$F$46,O25,$Q$2:$Q$46,"Aprobada")&gt;0,AND(Resumen!$B$15="La cursada aprobada",COUNTIFS($F$2:$F$46,O25,$Q$2:$Q$46,"Cursada aprobada")&gt;0)),OR(P25="",COUNTIF($F$2:$F$46,P25)=0,COUNTIFS($F$2:$F$46,P25,$Q$2:$Q$46,"Aprobada")&gt;0,AND(Resumen!$B$15="La cursada aprobada",COUNTIFS($F$2:$F$46,P25,$Q$2:$Q$46,"Cursada aprobada")&gt;0))),"Sí","No")))</f>
        <v>No</v>
      </c>
      <c r="S25" s="8" t="str">
        <f aca="false">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</f>
        <v>448 346</v>
      </c>
      <c r="T25" s="9" t="str">
        <f aca="false">IF(Q25="Cursada aprobada",IF(AND(OR(L25="",COUNTIF($F$2:$F$46,L25)=0,COUNTIFS($F$2:$F$46,L25,$Q$2:$Q$46,"Aprobada")&gt;0),OR(M25="",COUNTIF($F$2:$F$46,M25)=0,COUNTIFS($F$2:$F$46,M25,$Q$2:$Q$46,"Aprobada")&gt;0),OR(N25="",COUNTIF($F$2:$F$46,N25)=0,COUNTIFS($F$2:$F$46,N25,$Q$2:$Q$46,"Aprobada")&gt;0),OR(O25="",COUNTIF($F$2:$F$46,O25)=0,COUNTIFS($F$2:$F$46,O25,$Q$2:$Q$46,"Aprobada")&gt;0),OR(P25="",COUNTIF($F$2:$F$46,P25)=0,COUNTIFS($F$2:$F$46,P25,$Q$2:$Q$46,"Aprobada")&gt;0)),"Sí","No"),"")</f>
        <v/>
      </c>
      <c r="U25" s="9" t="str">
        <f aca="false">IF(Q25="Aprobada",TRIM(IF(NOT(OR(L25="",COUNTIF($F$2:$F$46,L25)=0,COUNTIFS($F$2:$F$46,L25,$Q$2:$Q$46,"Aprobada")&gt;0)),L25&amp;" ","")&amp;IF(NOT(OR(M25="",COUNTIF($F$2:$F$46,M25)=0,COUNTIFS($F$2:$F$46,M25,$Q$2:$Q$46,"Aprobada")&gt;0)),M25&amp;" ","")&amp;IF(NOT(OR(N25="",COUNTIF($F$2:$F$46,N25)=0,COUNTIFS($F$2:$F$46,N25,$Q$2:$Q$46,"Aprobada")&gt;0)),N25&amp;" ","")&amp;IF(NOT(OR(O25="",COUNTIF($F$2:$F$46,O25)=0,COUNTIFS($F$2:$F$46,O25,$Q$2:$Q$46,"Aprobada")&gt;0)),O25&amp;" ","")&amp;IF(NOT(OR(P25="",COUNTIF($F$2:$F$46,P25)=0,COUNTIFS($F$2:$F$46,P25,$Q$2:$Q$46,"Aprobada")&gt;0)),P25&amp;" ","")),IF(Q25="Cursada aprobada",TRIM(IF(NOT(OR(L25="",COUNTIF($F$2:$F$46,L25)=0,COUNTIFS($F$2:$F$46,L25,$Q$2:$Q$46,"Aprobada")&gt;0,AND(Resumen!$B$15="La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","")),""))</f>
        <v/>
      </c>
    </row>
    <row r="26" customFormat="false" ht="15" hidden="false" customHeight="false" outlineLevel="0" collapsed="false">
      <c r="A26" s="8" t="s">
        <v>83</v>
      </c>
      <c r="B26" s="8"/>
      <c r="C26" s="9" t="n">
        <v>4</v>
      </c>
      <c r="D26" s="9" t="n">
        <v>1</v>
      </c>
      <c r="E26" s="9" t="s">
        <v>59</v>
      </c>
      <c r="F26" s="9" t="n">
        <v>447</v>
      </c>
      <c r="G26" s="8" t="s">
        <v>160</v>
      </c>
      <c r="H26" s="9" t="s">
        <v>71</v>
      </c>
      <c r="I26" s="9" t="n">
        <v>4</v>
      </c>
      <c r="J26" s="9"/>
      <c r="K26" s="9" t="n">
        <v>64</v>
      </c>
      <c r="L26" s="9" t="n">
        <v>448</v>
      </c>
      <c r="M26" s="9" t="n">
        <v>346</v>
      </c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cursada",IF(AND(OR(L26="",COUNTIF($F$2:$F$46,L26)=0,COUNTIFS($F$2:$F$46,L26,$Q$2:$Q$46,"Aprobada")&gt;0,AND(Resumen!$B$15="La cursada aprobada",COUNTIFS($F$2:$F$46,L26,$Q$2:$Q$46,"Cursada aprobada")&gt;0)),OR(M26="",COUNTIF($F$2:$F$46,M26)=0,COUNTIFS($F$2:$F$46,M26,$Q$2:$Q$46,"Aprobada")&gt;0,AND(Resumen!$B$15="La cursada aprobada",COUNTIFS($F$2:$F$46,M26,$Q$2:$Q$46,"Cursada aprobada")&gt;0)),OR(N26="",COUNTIF($F$2:$F$46,N26)=0,COUNTIFS($F$2:$F$46,N26,$Q$2:$Q$46,"Aprobada")&gt;0,AND(Resumen!$B$15="La cursada aprobada",COUNTIFS($F$2:$F$46,N26,$Q$2:$Q$46,"Cursada aprobada")&gt;0)),OR(O26="",COUNTIF($F$2:$F$46,O26)=0,COUNTIFS($F$2:$F$46,O26,$Q$2:$Q$46,"Aprobada")&gt;0,AND(Resumen!$B$15="La cursada aprobada",COUNTIFS($F$2:$F$46,O26,$Q$2:$Q$46,"Cursada aprobada")&gt;0)),OR(P26="",COUNTIF($F$2:$F$46,P26)=0,COUNTIFS($F$2:$F$46,P26,$Q$2:$Q$46,"Aprobada")&gt;0,AND(Resumen!$B$15="La cursada aprobada",COUNTIFS($F$2:$F$46,P26,$Q$2:$Q$46,"Cursada aprobada")&gt;0))),"Sí","No")))</f>
        <v>No</v>
      </c>
      <c r="S26" s="8" t="str">
        <f aca="false">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</f>
        <v>448 346</v>
      </c>
      <c r="T26" s="9" t="str">
        <f aca="false">IF(Q26="Cursada aprobada",IF(AND(OR(L26="",COUNTIF($F$2:$F$46,L26)=0,COUNTIFS($F$2:$F$46,L26,$Q$2:$Q$46,"Aprobada")&gt;0),OR(M26="",COUNTIF($F$2:$F$46,M26)=0,COUNTIFS($F$2:$F$46,M26,$Q$2:$Q$46,"Aprobada")&gt;0),OR(N26="",COUNTIF($F$2:$F$46,N26)=0,COUNTIFS($F$2:$F$46,N26,$Q$2:$Q$46,"Aprobada")&gt;0),OR(O26="",COUNTIF($F$2:$F$46,O26)=0,COUNTIFS($F$2:$F$46,O26,$Q$2:$Q$46,"Aprobada")&gt;0),OR(P26="",COUNTIF($F$2:$F$46,P26)=0,COUNTIFS($F$2:$F$46,P26,$Q$2:$Q$46,"Aprobada")&gt;0)),"Sí","No"),"")</f>
        <v/>
      </c>
      <c r="U26" s="9" t="str">
        <f aca="false">IF(Q26="Aprobada",TRIM(IF(NOT(OR(L26="",COUNTIF($F$2:$F$46,L26)=0,COUNTIFS($F$2:$F$46,L26,$Q$2:$Q$46,"Aprobada")&gt;0)),L26&amp;" ","")&amp;IF(NOT(OR(M26="",COUNTIF($F$2:$F$46,M26)=0,COUNTIFS($F$2:$F$46,M26,$Q$2:$Q$46,"Aprobada")&gt;0)),M26&amp;" ","")&amp;IF(NOT(OR(N26="",COUNTIF($F$2:$F$46,N26)=0,COUNTIFS($F$2:$F$46,N26,$Q$2:$Q$46,"Aprobada")&gt;0)),N26&amp;" ","")&amp;IF(NOT(OR(O26="",COUNTIF($F$2:$F$46,O26)=0,COUNTIFS($F$2:$F$46,O26,$Q$2:$Q$46,"Aprobada")&gt;0)),O26&amp;" ","")&amp;IF(NOT(OR(P26="",COUNTIF($F$2:$F$46,P26)=0,COUNTIFS($F$2:$F$46,P26,$Q$2:$Q$46,"Aprobada")&gt;0)),P26&amp;" ","")),IF(Q26="Cursada aprobada",TRIM(IF(NOT(OR(L26="",COUNTIF($F$2:$F$46,L26)=0,COUNTIFS($F$2:$F$46,L26,$Q$2:$Q$46,"Aprobada")&gt;0,AND(Resumen!$B$15="La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","")),""))</f>
        <v/>
      </c>
    </row>
    <row r="27" customFormat="false" ht="15" hidden="false" customHeight="false" outlineLevel="0" collapsed="false">
      <c r="A27" s="8" t="s">
        <v>83</v>
      </c>
      <c r="B27" s="8"/>
      <c r="C27" s="9" t="n">
        <v>4</v>
      </c>
      <c r="D27" s="9" t="n">
        <v>2</v>
      </c>
      <c r="E27" s="9" t="s">
        <v>59</v>
      </c>
      <c r="F27" s="9" t="n">
        <v>409</v>
      </c>
      <c r="G27" s="8" t="s">
        <v>161</v>
      </c>
      <c r="H27" s="9" t="s">
        <v>71</v>
      </c>
      <c r="I27" s="9" t="n">
        <v>4</v>
      </c>
      <c r="J27" s="9"/>
      <c r="K27" s="9" t="n">
        <v>64</v>
      </c>
      <c r="L27" s="9" t="n">
        <v>346</v>
      </c>
      <c r="M27" s="9"/>
      <c r="N27" s="9"/>
      <c r="O27" s="9"/>
      <c r="P27" s="9"/>
      <c r="Q27" s="10" t="s">
        <v>62</v>
      </c>
      <c r="R27" s="9" t="str">
        <f aca="false">IF(Q27="Aprobada","Ya aprobada",IF(Q27="Cursada aprobada","Ya cursada",IF(AND(OR(L27="",COUNTIF($F$2:$F$46,L27)=0,COUNTIFS($F$2:$F$46,L27,$Q$2:$Q$46,"Aprobada")&gt;0,AND(Resumen!$B$15="La cursada aprobada",COUNTIFS($F$2:$F$46,L27,$Q$2:$Q$46,"Cursada aprobada")&gt;0)),OR(M27="",COUNTIF($F$2:$F$46,M27)=0,COUNTIFS($F$2:$F$46,M27,$Q$2:$Q$46,"Aprobada")&gt;0,AND(Resumen!$B$15="La cursada aprobada",COUNTIFS($F$2:$F$46,M27,$Q$2:$Q$46,"Cursada aprobada")&gt;0)),OR(N27="",COUNTIF($F$2:$F$46,N27)=0,COUNTIFS($F$2:$F$46,N27,$Q$2:$Q$46,"Aprobada")&gt;0,AND(Resumen!$B$15="La cursada aprobada",COUNTIFS($F$2:$F$46,N27,$Q$2:$Q$46,"Cursada aprobada")&gt;0)),OR(O27="",COUNTIF($F$2:$F$46,O27)=0,COUNTIFS($F$2:$F$46,O27,$Q$2:$Q$46,"Aprobada")&gt;0,AND(Resumen!$B$15="La cursada aprobada",COUNTIFS($F$2:$F$46,O27,$Q$2:$Q$46,"Cursada aprobada")&gt;0)),OR(P27="",COUNTIF($F$2:$F$46,P27)=0,COUNTIFS($F$2:$F$46,P27,$Q$2:$Q$46,"Aprobada")&gt;0,AND(Resumen!$B$15="La cursada aprobada",COUNTIFS($F$2:$F$46,P27,$Q$2:$Q$46,"Cursada aprobada")&gt;0))),"Sí","No")))</f>
        <v>No</v>
      </c>
      <c r="S27" s="8" t="str">
        <f aca="false">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</f>
        <v>346</v>
      </c>
      <c r="T27" s="9" t="str">
        <f aca="false">IF(Q27="Cursada aprobada",IF(AND(OR(L27="",COUNTIF($F$2:$F$46,L27)=0,COUNTIFS($F$2:$F$46,L27,$Q$2:$Q$46,"Aprobada")&gt;0),OR(M27="",COUNTIF($F$2:$F$46,M27)=0,COUNTIFS($F$2:$F$46,M27,$Q$2:$Q$46,"Aprobada")&gt;0),OR(N27="",COUNTIF($F$2:$F$46,N27)=0,COUNTIFS($F$2:$F$46,N27,$Q$2:$Q$46,"Aprobada")&gt;0),OR(O27="",COUNTIF($F$2:$F$46,O27)=0,COUNTIFS($F$2:$F$46,O27,$Q$2:$Q$46,"Aprobada")&gt;0),OR(P27="",COUNTIF($F$2:$F$46,P27)=0,COUNTIFS($F$2:$F$46,P27,$Q$2:$Q$46,"Aprobada")&gt;0)),"Sí","No"),"")</f>
        <v/>
      </c>
      <c r="U27" s="9" t="str">
        <f aca="false">IF(Q27="Aprobada",TRIM(IF(NOT(OR(L27="",COUNTIF($F$2:$F$46,L27)=0,COUNTIFS($F$2:$F$46,L27,$Q$2:$Q$46,"Aprobada")&gt;0)),L27&amp;" ","")&amp;IF(NOT(OR(M27="",COUNTIF($F$2:$F$46,M27)=0,COUNTIFS($F$2:$F$46,M27,$Q$2:$Q$46,"Aprobada")&gt;0)),M27&amp;" ","")&amp;IF(NOT(OR(N27="",COUNTIF($F$2:$F$46,N27)=0,COUNTIFS($F$2:$F$46,N27,$Q$2:$Q$46,"Aprobada")&gt;0)),N27&amp;" ","")&amp;IF(NOT(OR(O27="",COUNTIF($F$2:$F$46,O27)=0,COUNTIFS($F$2:$F$46,O27,$Q$2:$Q$46,"Aprobada")&gt;0)),O27&amp;" ","")&amp;IF(NOT(OR(P27="",COUNTIF($F$2:$F$46,P27)=0,COUNTIFS($F$2:$F$46,P27,$Q$2:$Q$46,"Aprobada")&gt;0)),P27&amp;" ","")),IF(Q27="Cursada aprobada",TRIM(IF(NOT(OR(L27="",COUNTIF($F$2:$F$46,L27)=0,COUNTIFS($F$2:$F$46,L27,$Q$2:$Q$46,"Aprobada")&gt;0,AND(Resumen!$B$15="La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","")),""))</f>
        <v/>
      </c>
    </row>
    <row r="28" customFormat="false" ht="15" hidden="false" customHeight="false" outlineLevel="0" collapsed="false">
      <c r="A28" s="8" t="s">
        <v>83</v>
      </c>
      <c r="B28" s="8"/>
      <c r="C28" s="9" t="n">
        <v>4</v>
      </c>
      <c r="D28" s="9" t="n">
        <v>2</v>
      </c>
      <c r="E28" s="9" t="s">
        <v>59</v>
      </c>
      <c r="F28" s="9" t="n">
        <v>410</v>
      </c>
      <c r="G28" s="8" t="s">
        <v>162</v>
      </c>
      <c r="H28" s="9" t="s">
        <v>61</v>
      </c>
      <c r="I28" s="9" t="n">
        <v>6</v>
      </c>
      <c r="J28" s="9"/>
      <c r="K28" s="9" t="n">
        <v>96</v>
      </c>
      <c r="L28" s="9" t="n">
        <v>302</v>
      </c>
      <c r="M28" s="9"/>
      <c r="N28" s="9"/>
      <c r="O28" s="9"/>
      <c r="P28" s="9"/>
      <c r="Q28" s="10" t="s">
        <v>62</v>
      </c>
      <c r="R28" s="9" t="str">
        <f aca="false">IF(Q28="Aprobada","Ya aprobada",IF(Q28="Cursada aprobada","Ya cursada",IF(AND(OR(L28="",COUNTIF($F$2:$F$46,L28)=0,COUNTIFS($F$2:$F$46,L28,$Q$2:$Q$46,"Aprobada")&gt;0,AND(Resumen!$B$15="La cursada aprobada",COUNTIFS($F$2:$F$46,L28,$Q$2:$Q$46,"Cursada aprobada")&gt;0)),OR(M28="",COUNTIF($F$2:$F$46,M28)=0,COUNTIFS($F$2:$F$46,M28,$Q$2:$Q$46,"Aprobada")&gt;0,AND(Resumen!$B$15="La cursada aprobada",COUNTIFS($F$2:$F$46,M28,$Q$2:$Q$46,"Cursada aprobada")&gt;0)),OR(N28="",COUNTIF($F$2:$F$46,N28)=0,COUNTIFS($F$2:$F$46,N28,$Q$2:$Q$46,"Aprobada")&gt;0,AND(Resumen!$B$15="La cursada aprobada",COUNTIFS($F$2:$F$46,N28,$Q$2:$Q$46,"Cursada aprobada")&gt;0)),OR(O28="",COUNTIF($F$2:$F$46,O28)=0,COUNTIFS($F$2:$F$46,O28,$Q$2:$Q$46,"Aprobada")&gt;0,AND(Resumen!$B$15="La cursada aprobada",COUNTIFS($F$2:$F$46,O28,$Q$2:$Q$46,"Cursada aprobada")&gt;0)),OR(P28="",COUNTIF($F$2:$F$46,P28)=0,COUNTIFS($F$2:$F$46,P28,$Q$2:$Q$46,"Aprobada")&gt;0,AND(Resumen!$B$15="La cursada aprobada",COUNTIFS($F$2:$F$46,P28,$Q$2:$Q$46,"Cursada aprobada")&gt;0))),"Sí","No")))</f>
        <v>No</v>
      </c>
      <c r="S28" s="8" t="str">
        <f aca="false">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</f>
        <v>302</v>
      </c>
      <c r="T28" s="9" t="str">
        <f aca="false">IF(Q28="Cursada aprobada",IF(AND(OR(L28="",COUNTIF($F$2:$F$46,L28)=0,COUNTIFS($F$2:$F$46,L28,$Q$2:$Q$46,"Aprobada")&gt;0),OR(M28="",COUNTIF($F$2:$F$46,M28)=0,COUNTIFS($F$2:$F$46,M28,$Q$2:$Q$46,"Aprobada")&gt;0),OR(N28="",COUNTIF($F$2:$F$46,N28)=0,COUNTIFS($F$2:$F$46,N28,$Q$2:$Q$46,"Aprobada")&gt;0),OR(O28="",COUNTIF($F$2:$F$46,O28)=0,COUNTIFS($F$2:$F$46,O28,$Q$2:$Q$46,"Aprobada")&gt;0),OR(P28="",COUNTIF($F$2:$F$46,P28)=0,COUNTIFS($F$2:$F$46,P28,$Q$2:$Q$46,"Aprobada")&gt;0)),"Sí","No"),"")</f>
        <v/>
      </c>
      <c r="U28" s="9" t="str">
        <f aca="false">IF(Q28="Aprobada",TRIM(IF(NOT(OR(L28="",COUNTIF($F$2:$F$46,L28)=0,COUNTIFS($F$2:$F$46,L28,$Q$2:$Q$46,"Aprobada")&gt;0)),L28&amp;" ","")&amp;IF(NOT(OR(M28="",COUNTIF($F$2:$F$46,M28)=0,COUNTIFS($F$2:$F$46,M28,$Q$2:$Q$46,"Aprobada")&gt;0)),M28&amp;" ","")&amp;IF(NOT(OR(N28="",COUNTIF($F$2:$F$46,N28)=0,COUNTIFS($F$2:$F$46,N28,$Q$2:$Q$46,"Aprobada")&gt;0)),N28&amp;" ","")&amp;IF(NOT(OR(O28="",COUNTIF($F$2:$F$46,O28)=0,COUNTIFS($F$2:$F$46,O28,$Q$2:$Q$46,"Aprobada")&gt;0)),O28&amp;" ","")&amp;IF(NOT(OR(P28="",COUNTIF($F$2:$F$46,P28)=0,COUNTIFS($F$2:$F$46,P28,$Q$2:$Q$46,"Aprobada")&gt;0)),P28&amp;" ","")),IF(Q28="Cursada aprobada",TRIM(IF(NOT(OR(L28="",COUNTIF($F$2:$F$46,L28)=0,COUNTIFS($F$2:$F$46,L28,$Q$2:$Q$46,"Aprobada")&gt;0,AND(Resumen!$B$15="La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","")),""))</f>
        <v/>
      </c>
    </row>
    <row r="29" customFormat="false" ht="15" hidden="false" customHeight="false" outlineLevel="0" collapsed="false">
      <c r="A29" s="8" t="s">
        <v>83</v>
      </c>
      <c r="B29" s="8"/>
      <c r="C29" s="9" t="n">
        <v>4</v>
      </c>
      <c r="D29" s="9" t="n">
        <v>2</v>
      </c>
      <c r="E29" s="9" t="s">
        <v>59</v>
      </c>
      <c r="F29" s="9" t="n">
        <v>419</v>
      </c>
      <c r="G29" s="8" t="s">
        <v>163</v>
      </c>
      <c r="H29" s="9" t="s">
        <v>71</v>
      </c>
      <c r="I29" s="9" t="n">
        <v>4</v>
      </c>
      <c r="J29" s="9"/>
      <c r="K29" s="9" t="n">
        <v>64</v>
      </c>
      <c r="L29" s="9" t="n">
        <v>314</v>
      </c>
      <c r="M29" s="9" t="n">
        <v>208</v>
      </c>
      <c r="N29" s="9" t="n">
        <v>218</v>
      </c>
      <c r="O29" s="9"/>
      <c r="P29" s="9"/>
      <c r="Q29" s="10" t="s">
        <v>62</v>
      </c>
      <c r="R29" s="9" t="str">
        <f aca="false">IF(Q29="Aprobada","Ya aprobada",IF(Q29="Cursada aprobada","Ya cursada",IF(AND(OR(L29="",COUNTIF($F$2:$F$46,L29)=0,COUNTIFS($F$2:$F$46,L29,$Q$2:$Q$46,"Aprobada")&gt;0,AND(Resumen!$B$15="La cursada aprobada",COUNTIFS($F$2:$F$46,L29,$Q$2:$Q$46,"Cursada aprobada")&gt;0)),OR(M29="",COUNTIF($F$2:$F$46,M29)=0,COUNTIFS($F$2:$F$46,M29,$Q$2:$Q$46,"Aprobada")&gt;0,AND(Resumen!$B$15="La cursada aprobada",COUNTIFS($F$2:$F$46,M29,$Q$2:$Q$46,"Cursada aprobada")&gt;0)),OR(N29="",COUNTIF($F$2:$F$46,N29)=0,COUNTIFS($F$2:$F$46,N29,$Q$2:$Q$46,"Aprobada")&gt;0,AND(Resumen!$B$15="La cursada aprobada",COUNTIFS($F$2:$F$46,N29,$Q$2:$Q$46,"Cursada aprobada")&gt;0)),OR(O29="",COUNTIF($F$2:$F$46,O29)=0,COUNTIFS($F$2:$F$46,O29,$Q$2:$Q$46,"Aprobada")&gt;0,AND(Resumen!$B$15="La cursada aprobada",COUNTIFS($F$2:$F$46,O29,$Q$2:$Q$46,"Cursada aprobada")&gt;0)),OR(P29="",COUNTIF($F$2:$F$46,P29)=0,COUNTIFS($F$2:$F$46,P29,$Q$2:$Q$46,"Aprobada")&gt;0,AND(Resumen!$B$15="La cursada aprobada",COUNTIFS($F$2:$F$46,P29,$Q$2:$Q$46,"Cursada aprobada")&gt;0))),"Sí","No")))</f>
        <v>No</v>
      </c>
      <c r="S29" s="8" t="str">
        <f aca="false">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</f>
        <v>314 208 218</v>
      </c>
      <c r="T29" s="9" t="str">
        <f aca="false">IF(Q29="Cursada aprobada",IF(AND(OR(L29="",COUNTIF($F$2:$F$46,L29)=0,COUNTIFS($F$2:$F$46,L29,$Q$2:$Q$46,"Aprobada")&gt;0),OR(M29="",COUNTIF($F$2:$F$46,M29)=0,COUNTIFS($F$2:$F$46,M29,$Q$2:$Q$46,"Aprobada")&gt;0),OR(N29="",COUNTIF($F$2:$F$46,N29)=0,COUNTIFS($F$2:$F$46,N29,$Q$2:$Q$46,"Aprobada")&gt;0),OR(O29="",COUNTIF($F$2:$F$46,O29)=0,COUNTIFS($F$2:$F$46,O29,$Q$2:$Q$46,"Aprobada")&gt;0),OR(P29="",COUNTIF($F$2:$F$46,P29)=0,COUNTIFS($F$2:$F$46,P29,$Q$2:$Q$46,"Aprobada")&gt;0)),"Sí","No"),"")</f>
        <v/>
      </c>
      <c r="U29" s="9" t="str">
        <f aca="false">IF(Q29="Aprobada",TRIM(IF(NOT(OR(L29="",COUNTIF($F$2:$F$46,L29)=0,COUNTIFS($F$2:$F$46,L29,$Q$2:$Q$46,"Aprobada")&gt;0)),L29&amp;" ","")&amp;IF(NOT(OR(M29="",COUNTIF($F$2:$F$46,M29)=0,COUNTIFS($F$2:$F$46,M29,$Q$2:$Q$46,"Aprobada")&gt;0)),M29&amp;" ","")&amp;IF(NOT(OR(N29="",COUNTIF($F$2:$F$46,N29)=0,COUNTIFS($F$2:$F$46,N29,$Q$2:$Q$46,"Aprobada")&gt;0)),N29&amp;" ","")&amp;IF(NOT(OR(O29="",COUNTIF($F$2:$F$46,O29)=0,COUNTIFS($F$2:$F$46,O29,$Q$2:$Q$46,"Aprobada")&gt;0)),O29&amp;" ","")&amp;IF(NOT(OR(P29="",COUNTIF($F$2:$F$46,P29)=0,COUNTIFS($F$2:$F$46,P29,$Q$2:$Q$46,"Aprobada")&gt;0)),P29&amp;" ","")),IF(Q29="Cursada aprobada",TRIM(IF(NOT(OR(L29="",COUNTIF($F$2:$F$46,L29)=0,COUNTIFS($F$2:$F$46,L29,$Q$2:$Q$46,"Aprobada")&gt;0,AND(Resumen!$B$15="La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","")),""))</f>
        <v/>
      </c>
    </row>
    <row r="30" customFormat="false" ht="15" hidden="false" customHeight="false" outlineLevel="0" collapsed="false">
      <c r="A30" s="8" t="s">
        <v>83</v>
      </c>
      <c r="B30" s="8"/>
      <c r="C30" s="9" t="n">
        <v>4</v>
      </c>
      <c r="D30" s="9" t="n">
        <v>2</v>
      </c>
      <c r="E30" s="9" t="s">
        <v>67</v>
      </c>
      <c r="F30" s="9" t="n">
        <v>349</v>
      </c>
      <c r="G30" s="8" t="s">
        <v>89</v>
      </c>
      <c r="H30" s="9" t="s">
        <v>61</v>
      </c>
      <c r="I30" s="9" t="n">
        <v>6</v>
      </c>
      <c r="J30" s="9"/>
      <c r="K30" s="9" t="n">
        <v>96</v>
      </c>
      <c r="L30" s="9" t="n">
        <v>202</v>
      </c>
      <c r="M30" s="9" t="n">
        <v>314</v>
      </c>
      <c r="N30" s="9"/>
      <c r="O30" s="9"/>
      <c r="P30" s="9"/>
      <c r="Q30" s="10" t="s">
        <v>62</v>
      </c>
      <c r="R30" s="9" t="str">
        <f aca="false">IF(Q30="Aprobada","Ya aprobada",IF(Q30="Cursada aprobada","Ya cursada",IF(AND(OR(L30="",COUNTIF($F$2:$F$46,L30)=0,COUNTIFS($F$2:$F$46,L30,$Q$2:$Q$46,"Aprobada")&gt;0,AND(Resumen!$B$15="La cursada aprobada",COUNTIFS($F$2:$F$46,L30,$Q$2:$Q$46,"Cursada aprobada")&gt;0)),OR(M30="",COUNTIF($F$2:$F$46,M30)=0,COUNTIFS($F$2:$F$46,M30,$Q$2:$Q$46,"Aprobada")&gt;0,AND(Resumen!$B$15="La cursada aprobada",COUNTIFS($F$2:$F$46,M30,$Q$2:$Q$46,"Cursada aprobada")&gt;0)),OR(N30="",COUNTIF($F$2:$F$46,N30)=0,COUNTIFS($F$2:$F$46,N30,$Q$2:$Q$46,"Aprobada")&gt;0,AND(Resumen!$B$15="La cursada aprobada",COUNTIFS($F$2:$F$46,N30,$Q$2:$Q$46,"Cursada aprobada")&gt;0)),OR(O30="",COUNTIF($F$2:$F$46,O30)=0,COUNTIFS($F$2:$F$46,O30,$Q$2:$Q$46,"Aprobada")&gt;0,AND(Resumen!$B$15="La cursada aprobada",COUNTIFS($F$2:$F$46,O30,$Q$2:$Q$46,"Cursada aprobada")&gt;0)),OR(P30="",COUNTIF($F$2:$F$46,P30)=0,COUNTIFS($F$2:$F$46,P30,$Q$2:$Q$46,"Aprobada")&gt;0,AND(Resumen!$B$15="La cursada aprobada",COUNTIFS($F$2:$F$46,P30,$Q$2:$Q$46,"Cursada aprobada")&gt;0))),"Sí","No")))</f>
        <v>No</v>
      </c>
      <c r="S30" s="8" t="str">
        <f aca="false">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</f>
        <v>202 314</v>
      </c>
      <c r="T30" s="9" t="str">
        <f aca="false">IF(Q30="Cursada aprobada",IF(AND(OR(L30="",COUNTIF($F$2:$F$46,L30)=0,COUNTIFS($F$2:$F$46,L30,$Q$2:$Q$46,"Aprobada")&gt;0),OR(M30="",COUNTIF($F$2:$F$46,M30)=0,COUNTIFS($F$2:$F$46,M30,$Q$2:$Q$46,"Aprobada")&gt;0),OR(N30="",COUNTIF($F$2:$F$46,N30)=0,COUNTIFS($F$2:$F$46,N30,$Q$2:$Q$46,"Aprobada")&gt;0),OR(O30="",COUNTIF($F$2:$F$46,O30)=0,COUNTIFS($F$2:$F$46,O30,$Q$2:$Q$46,"Aprobada")&gt;0),OR(P30="",COUNTIF($F$2:$F$46,P30)=0,COUNTIFS($F$2:$F$46,P30,$Q$2:$Q$46,"Aprobada")&gt;0)),"Sí","No"),"")</f>
        <v/>
      </c>
      <c r="U30" s="9" t="str">
        <f aca="false">IF(Q30="Aprobada",TRIM(IF(NOT(OR(L30="",COUNTIF($F$2:$F$46,L30)=0,COUNTIFS($F$2:$F$46,L30,$Q$2:$Q$46,"Aprobada")&gt;0)),L30&amp;" ","")&amp;IF(NOT(OR(M30="",COUNTIF($F$2:$F$46,M30)=0,COUNTIFS($F$2:$F$46,M30,$Q$2:$Q$46,"Aprobada")&gt;0)),M30&amp;" ","")&amp;IF(NOT(OR(N30="",COUNTIF($F$2:$F$46,N30)=0,COUNTIFS($F$2:$F$46,N30,$Q$2:$Q$46,"Aprobada")&gt;0)),N30&amp;" ","")&amp;IF(NOT(OR(O30="",COUNTIF($F$2:$F$46,O30)=0,COUNTIFS($F$2:$F$46,O30,$Q$2:$Q$46,"Aprobada")&gt;0)),O30&amp;" ","")&amp;IF(NOT(OR(P30="",COUNTIF($F$2:$F$46,P30)=0,COUNTIFS($F$2:$F$46,P30,$Q$2:$Q$46,"Aprobada")&gt;0)),P30&amp;" ","")),IF(Q30="Cursada aprobada",TRIM(IF(NOT(OR(L30="",COUNTIF($F$2:$F$46,L30)=0,COUNTIFS($F$2:$F$46,L30,$Q$2:$Q$46,"Aprobada")&gt;0,AND(Resumen!$B$15="La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","")),""))</f>
        <v/>
      </c>
    </row>
    <row r="31" customFormat="false" ht="15" hidden="false" customHeight="false" outlineLevel="0" collapsed="false">
      <c r="A31" s="8" t="s">
        <v>83</v>
      </c>
      <c r="B31" s="8"/>
      <c r="C31" s="9" t="n">
        <v>5</v>
      </c>
      <c r="D31" s="9" t="n">
        <v>1</v>
      </c>
      <c r="E31" s="9" t="s">
        <v>59</v>
      </c>
      <c r="F31" s="9" t="n">
        <v>504</v>
      </c>
      <c r="G31" s="8" t="s">
        <v>115</v>
      </c>
      <c r="H31" s="9" t="s">
        <v>61</v>
      </c>
      <c r="I31" s="9" t="n">
        <v>4</v>
      </c>
      <c r="J31" s="9"/>
      <c r="K31" s="9" t="n">
        <v>64</v>
      </c>
      <c r="L31" s="9" t="n">
        <v>328</v>
      </c>
      <c r="M31" s="9" t="n">
        <v>408</v>
      </c>
      <c r="N31" s="9"/>
      <c r="O31" s="9"/>
      <c r="P31" s="9"/>
      <c r="Q31" s="10" t="s">
        <v>62</v>
      </c>
      <c r="R31" s="9" t="str">
        <f aca="false">IF(Q31="Aprobada","Ya aprobada",IF(Q31="Cursada aprobada","Ya cursada",IF(AND(OR(L31="",COUNTIF($F$2:$F$46,L31)=0,COUNTIFS($F$2:$F$46,L31,$Q$2:$Q$46,"Aprobada")&gt;0,AND(Resumen!$B$15="La cursada aprobada",COUNTIFS($F$2:$F$46,L31,$Q$2:$Q$46,"Cursada aprobada")&gt;0)),OR(M31="",COUNTIF($F$2:$F$46,M31)=0,COUNTIFS($F$2:$F$46,M31,$Q$2:$Q$46,"Aprobada")&gt;0,AND(Resumen!$B$15="La cursada aprobada",COUNTIFS($F$2:$F$46,M31,$Q$2:$Q$46,"Cursada aprobada")&gt;0)),OR(N31="",COUNTIF($F$2:$F$46,N31)=0,COUNTIFS($F$2:$F$46,N31,$Q$2:$Q$46,"Aprobada")&gt;0,AND(Resumen!$B$15="La cursada aprobada",COUNTIFS($F$2:$F$46,N31,$Q$2:$Q$46,"Cursada aprobada")&gt;0)),OR(O31="",COUNTIF($F$2:$F$46,O31)=0,COUNTIFS($F$2:$F$46,O31,$Q$2:$Q$46,"Aprobada")&gt;0,AND(Resumen!$B$15="La cursada aprobada",COUNTIFS($F$2:$F$46,O31,$Q$2:$Q$46,"Cursada aprobada")&gt;0)),OR(P31="",COUNTIF($F$2:$F$46,P31)=0,COUNTIFS($F$2:$F$46,P31,$Q$2:$Q$46,"Aprobada")&gt;0,AND(Resumen!$B$15="La cursada aprobada",COUNTIFS($F$2:$F$46,P31,$Q$2:$Q$46,"Cursada aprobada")&gt;0))),"Sí","No")))</f>
        <v>No</v>
      </c>
      <c r="S31" s="8" t="str">
        <f aca="false">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</f>
        <v>328 408</v>
      </c>
      <c r="T31" s="9" t="str">
        <f aca="false">IF(Q31="Cursada aprobada",IF(AND(OR(L31="",COUNTIF($F$2:$F$46,L31)=0,COUNTIFS($F$2:$F$46,L31,$Q$2:$Q$46,"Aprobada")&gt;0),OR(M31="",COUNTIF($F$2:$F$46,M31)=0,COUNTIFS($F$2:$F$46,M31,$Q$2:$Q$46,"Aprobada")&gt;0),OR(N31="",COUNTIF($F$2:$F$46,N31)=0,COUNTIFS($F$2:$F$46,N31,$Q$2:$Q$46,"Aprobada")&gt;0),OR(O31="",COUNTIF($F$2:$F$46,O31)=0,COUNTIFS($F$2:$F$46,O31,$Q$2:$Q$46,"Aprobada")&gt;0),OR(P31="",COUNTIF($F$2:$F$46,P31)=0,COUNTIFS($F$2:$F$46,P31,$Q$2:$Q$46,"Aprobada")&gt;0)),"Sí","No"),"")</f>
        <v/>
      </c>
      <c r="U31" s="9" t="str">
        <f aca="false">IF(Q31="Aprobada",TRIM(IF(NOT(OR(L31="",COUNTIF($F$2:$F$46,L31)=0,COUNTIFS($F$2:$F$46,L31,$Q$2:$Q$46,"Aprobada")&gt;0)),L31&amp;" ","")&amp;IF(NOT(OR(M31="",COUNTIF($F$2:$F$46,M31)=0,COUNTIFS($F$2:$F$46,M31,$Q$2:$Q$46,"Aprobada")&gt;0)),M31&amp;" ","")&amp;IF(NOT(OR(N31="",COUNTIF($F$2:$F$46,N31)=0,COUNTIFS($F$2:$F$46,N31,$Q$2:$Q$46,"Aprobada")&gt;0)),N31&amp;" ","")&amp;IF(NOT(OR(O31="",COUNTIF($F$2:$F$46,O31)=0,COUNTIFS($F$2:$F$46,O31,$Q$2:$Q$46,"Aprobada")&gt;0)),O31&amp;" ","")&amp;IF(NOT(OR(P31="",COUNTIF($F$2:$F$46,P31)=0,COUNTIFS($F$2:$F$46,P31,$Q$2:$Q$46,"Aprobada")&gt;0)),P31&amp;" ","")),IF(Q31="Cursada aprobada",TRIM(IF(NOT(OR(L31="",COUNTIF($F$2:$F$46,L31)=0,COUNTIFS($F$2:$F$46,L31,$Q$2:$Q$46,"Aprobada")&gt;0,AND(Resumen!$B$15="La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","")),""))</f>
        <v/>
      </c>
    </row>
    <row r="32" customFormat="false" ht="15" hidden="false" customHeight="false" outlineLevel="0" collapsed="false">
      <c r="A32" s="8" t="s">
        <v>83</v>
      </c>
      <c r="B32" s="8"/>
      <c r="C32" s="9" t="n">
        <v>5</v>
      </c>
      <c r="D32" s="9" t="n">
        <v>1</v>
      </c>
      <c r="E32" s="9" t="s">
        <v>59</v>
      </c>
      <c r="F32" s="9" t="n">
        <v>553</v>
      </c>
      <c r="G32" s="8" t="s">
        <v>164</v>
      </c>
      <c r="H32" s="9" t="s">
        <v>71</v>
      </c>
      <c r="I32" s="9" t="n">
        <v>6</v>
      </c>
      <c r="J32" s="9"/>
      <c r="K32" s="9" t="n">
        <v>96</v>
      </c>
      <c r="L32" s="9" t="n">
        <v>314</v>
      </c>
      <c r="M32" s="9" t="n">
        <v>280</v>
      </c>
      <c r="N32" s="9" t="n">
        <v>208</v>
      </c>
      <c r="O32" s="9" t="n">
        <v>419</v>
      </c>
      <c r="P32" s="9"/>
      <c r="Q32" s="10" t="s">
        <v>62</v>
      </c>
      <c r="R32" s="9" t="str">
        <f aca="false">IF(Q32="Aprobada","Ya aprobada",IF(Q32="Cursada aprobada","Ya cursada",IF(AND(OR(L32="",COUNTIF($F$2:$F$46,L32)=0,COUNTIFS($F$2:$F$46,L32,$Q$2:$Q$46,"Aprobada")&gt;0,AND(Resumen!$B$15="La cursada aprobada",COUNTIFS($F$2:$F$46,L32,$Q$2:$Q$46,"Cursada aprobada")&gt;0)),OR(M32="",COUNTIF($F$2:$F$46,M32)=0,COUNTIFS($F$2:$F$46,M32,$Q$2:$Q$46,"Aprobada")&gt;0,AND(Resumen!$B$15="La cursada aprobada",COUNTIFS($F$2:$F$46,M32,$Q$2:$Q$46,"Cursada aprobada")&gt;0)),OR(N32="",COUNTIF($F$2:$F$46,N32)=0,COUNTIFS($F$2:$F$46,N32,$Q$2:$Q$46,"Aprobada")&gt;0,AND(Resumen!$B$15="La cursada aprobada",COUNTIFS($F$2:$F$46,N32,$Q$2:$Q$46,"Cursada aprobada")&gt;0)),OR(O32="",COUNTIF($F$2:$F$46,O32)=0,COUNTIFS($F$2:$F$46,O32,$Q$2:$Q$46,"Aprobada")&gt;0,AND(Resumen!$B$15="La cursada aprobada",COUNTIFS($F$2:$F$46,O32,$Q$2:$Q$46,"Cursada aprobada")&gt;0)),OR(P32="",COUNTIF($F$2:$F$46,P32)=0,COUNTIFS($F$2:$F$46,P32,$Q$2:$Q$46,"Aprobada")&gt;0,AND(Resumen!$B$15="La cursada aprobada",COUNTIFS($F$2:$F$46,P32,$Q$2:$Q$46,"Cursada aprobada")&gt;0))),"Sí","No")))</f>
        <v>No</v>
      </c>
      <c r="S32" s="8" t="str">
        <f aca="false">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</f>
        <v>314 280 208 419</v>
      </c>
      <c r="T32" s="9" t="str">
        <f aca="false">IF(Q32="Cursada aprobada",IF(AND(OR(L32="",COUNTIF($F$2:$F$46,L32)=0,COUNTIFS($F$2:$F$46,L32,$Q$2:$Q$46,"Aprobada")&gt;0),OR(M32="",COUNTIF($F$2:$F$46,M32)=0,COUNTIFS($F$2:$F$46,M32,$Q$2:$Q$46,"Aprobada")&gt;0),OR(N32="",COUNTIF($F$2:$F$46,N32)=0,COUNTIFS($F$2:$F$46,N32,$Q$2:$Q$46,"Aprobada")&gt;0),OR(O32="",COUNTIF($F$2:$F$46,O32)=0,COUNTIFS($F$2:$F$46,O32,$Q$2:$Q$46,"Aprobada")&gt;0),OR(P32="",COUNTIF($F$2:$F$46,P32)=0,COUNTIFS($F$2:$F$46,P32,$Q$2:$Q$46,"Aprobada")&gt;0)),"Sí","No"),"")</f>
        <v/>
      </c>
      <c r="U32" s="9" t="str">
        <f aca="false">IF(Q32="Aprobada",TRIM(IF(NOT(OR(L32="",COUNTIF($F$2:$F$46,L32)=0,COUNTIFS($F$2:$F$46,L32,$Q$2:$Q$46,"Aprobada")&gt;0)),L32&amp;" ","")&amp;IF(NOT(OR(M32="",COUNTIF($F$2:$F$46,M32)=0,COUNTIFS($F$2:$F$46,M32,$Q$2:$Q$46,"Aprobada")&gt;0)),M32&amp;" ","")&amp;IF(NOT(OR(N32="",COUNTIF($F$2:$F$46,N32)=0,COUNTIFS($F$2:$F$46,N32,$Q$2:$Q$46,"Aprobada")&gt;0)),N32&amp;" ","")&amp;IF(NOT(OR(O32="",COUNTIF($F$2:$F$46,O32)=0,COUNTIFS($F$2:$F$46,O32,$Q$2:$Q$46,"Aprobada")&gt;0)),O32&amp;" ","")&amp;IF(NOT(OR(P32="",COUNTIF($F$2:$F$46,P32)=0,COUNTIFS($F$2:$F$46,P32,$Q$2:$Q$46,"Aprobada")&gt;0)),P32&amp;" ","")),IF(Q32="Cursada aprobada",TRIM(IF(NOT(OR(L32="",COUNTIF($F$2:$F$46,L32)=0,COUNTIFS($F$2:$F$46,L32,$Q$2:$Q$46,"Aprobada")&gt;0,AND(Resumen!$B$15="La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","")),""))</f>
        <v/>
      </c>
    </row>
    <row r="33" customFormat="false" ht="15" hidden="false" customHeight="false" outlineLevel="0" collapsed="false">
      <c r="A33" s="8" t="s">
        <v>83</v>
      </c>
      <c r="B33" s="8"/>
      <c r="C33" s="9" t="n">
        <v>5</v>
      </c>
      <c r="D33" s="9" t="n">
        <v>1</v>
      </c>
      <c r="E33" s="9" t="s">
        <v>59</v>
      </c>
      <c r="F33" s="9" t="n">
        <v>556</v>
      </c>
      <c r="G33" s="8" t="s">
        <v>165</v>
      </c>
      <c r="H33" s="9" t="s">
        <v>71</v>
      </c>
      <c r="I33" s="9" t="n">
        <v>4</v>
      </c>
      <c r="J33" s="9"/>
      <c r="K33" s="9" t="n">
        <v>64</v>
      </c>
      <c r="L33" s="9" t="n">
        <v>448</v>
      </c>
      <c r="M33" s="9" t="n">
        <v>407</v>
      </c>
      <c r="N33" s="9"/>
      <c r="O33" s="9"/>
      <c r="P33" s="9"/>
      <c r="Q33" s="10" t="s">
        <v>62</v>
      </c>
      <c r="R33" s="9" t="str">
        <f aca="false">IF(Q33="Aprobada","Ya aprobada",IF(Q33="Cursada aprobada","Ya cursada",IF(AND(OR(L33="",COUNTIF($F$2:$F$46,L33)=0,COUNTIFS($F$2:$F$46,L33,$Q$2:$Q$46,"Aprobada")&gt;0,AND(Resumen!$B$15="La cursada aprobada",COUNTIFS($F$2:$F$46,L33,$Q$2:$Q$46,"Cursada aprobada")&gt;0)),OR(M33="",COUNTIF($F$2:$F$46,M33)=0,COUNTIFS($F$2:$F$46,M33,$Q$2:$Q$46,"Aprobada")&gt;0,AND(Resumen!$B$15="La cursada aprobada",COUNTIFS($F$2:$F$46,M33,$Q$2:$Q$46,"Cursada aprobada")&gt;0)),OR(N33="",COUNTIF($F$2:$F$46,N33)=0,COUNTIFS($F$2:$F$46,N33,$Q$2:$Q$46,"Aprobada")&gt;0,AND(Resumen!$B$15="La cursada aprobada",COUNTIFS($F$2:$F$46,N33,$Q$2:$Q$46,"Cursada aprobada")&gt;0)),OR(O33="",COUNTIF($F$2:$F$46,O33)=0,COUNTIFS($F$2:$F$46,O33,$Q$2:$Q$46,"Aprobada")&gt;0,AND(Resumen!$B$15="La cursada aprobada",COUNTIFS($F$2:$F$46,O33,$Q$2:$Q$46,"Cursada aprobada")&gt;0)),OR(P33="",COUNTIF($F$2:$F$46,P33)=0,COUNTIFS($F$2:$F$46,P33,$Q$2:$Q$46,"Aprobada")&gt;0,AND(Resumen!$B$15="La cursada aprobada",COUNTIFS($F$2:$F$46,P33,$Q$2:$Q$46,"Cursada aprobada")&gt;0))),"Sí","No")))</f>
        <v>No</v>
      </c>
      <c r="S33" s="8" t="str">
        <f aca="false">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</f>
        <v>448 407</v>
      </c>
      <c r="T33" s="9" t="str">
        <f aca="false">IF(Q33="Cursada aprobada",IF(AND(OR(L33="",COUNTIF($F$2:$F$46,L33)=0,COUNTIFS($F$2:$F$46,L33,$Q$2:$Q$46,"Aprobada")&gt;0),OR(M33="",COUNTIF($F$2:$F$46,M33)=0,COUNTIFS($F$2:$F$46,M33,$Q$2:$Q$46,"Aprobada")&gt;0),OR(N33="",COUNTIF($F$2:$F$46,N33)=0,COUNTIFS($F$2:$F$46,N33,$Q$2:$Q$46,"Aprobada")&gt;0),OR(O33="",COUNTIF($F$2:$F$46,O33)=0,COUNTIFS($F$2:$F$46,O33,$Q$2:$Q$46,"Aprobada")&gt;0),OR(P33="",COUNTIF($F$2:$F$46,P33)=0,COUNTIFS($F$2:$F$46,P33,$Q$2:$Q$46,"Aprobada")&gt;0)),"Sí","No"),"")</f>
        <v/>
      </c>
      <c r="U33" s="9" t="str">
        <f aca="false">IF(Q33="Aprobada",TRIM(IF(NOT(OR(L33="",COUNTIF($F$2:$F$46,L33)=0,COUNTIFS($F$2:$F$46,L33,$Q$2:$Q$46,"Aprobada")&gt;0)),L33&amp;" ","")&amp;IF(NOT(OR(M33="",COUNTIF($F$2:$F$46,M33)=0,COUNTIFS($F$2:$F$46,M33,$Q$2:$Q$46,"Aprobada")&gt;0)),M33&amp;" ","")&amp;IF(NOT(OR(N33="",COUNTIF($F$2:$F$46,N33)=0,COUNTIFS($F$2:$F$46,N33,$Q$2:$Q$46,"Aprobada")&gt;0)),N33&amp;" ","")&amp;IF(NOT(OR(O33="",COUNTIF($F$2:$F$46,O33)=0,COUNTIFS($F$2:$F$46,O33,$Q$2:$Q$46,"Aprobada")&gt;0)),O33&amp;" ","")&amp;IF(NOT(OR(P33="",COUNTIF($F$2:$F$46,P33)=0,COUNTIFS($F$2:$F$46,P33,$Q$2:$Q$46,"Aprobada")&gt;0)),P33&amp;" ","")),IF(Q33="Cursada aprobada",TRIM(IF(NOT(OR(L33="",COUNTIF($F$2:$F$46,L33)=0,COUNTIFS($F$2:$F$46,L33,$Q$2:$Q$46,"Aprobada")&gt;0,AND(Resumen!$B$15="La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","")),""))</f>
        <v/>
      </c>
    </row>
    <row r="34" customFormat="false" ht="15" hidden="false" customHeight="false" outlineLevel="0" collapsed="false">
      <c r="A34" s="8" t="s">
        <v>83</v>
      </c>
      <c r="B34" s="8"/>
      <c r="C34" s="9" t="n">
        <v>5</v>
      </c>
      <c r="D34" s="9" t="n">
        <v>1</v>
      </c>
      <c r="E34" s="9" t="s">
        <v>59</v>
      </c>
      <c r="F34" s="9" t="n">
        <v>505</v>
      </c>
      <c r="G34" s="8" t="s">
        <v>166</v>
      </c>
      <c r="H34" s="9" t="s">
        <v>71</v>
      </c>
      <c r="I34" s="9" t="n">
        <v>4</v>
      </c>
      <c r="J34" s="9"/>
      <c r="K34" s="9" t="n">
        <v>64</v>
      </c>
      <c r="L34" s="9" t="n">
        <v>314</v>
      </c>
      <c r="M34" s="9" t="n">
        <v>280</v>
      </c>
      <c r="N34" s="9" t="n">
        <v>218</v>
      </c>
      <c r="O34" s="9" t="n">
        <v>409</v>
      </c>
      <c r="P34" s="9"/>
      <c r="Q34" s="10" t="s">
        <v>62</v>
      </c>
      <c r="R34" s="9" t="str">
        <f aca="false">IF(Q34="Aprobada","Ya aprobada",IF(Q34="Cursada aprobada","Ya cursada",IF(AND(OR(L34="",COUNTIF($F$2:$F$46,L34)=0,COUNTIFS($F$2:$F$46,L34,$Q$2:$Q$46,"Aprobada")&gt;0,AND(Resumen!$B$15="La cursada aprobada",COUNTIFS($F$2:$F$46,L34,$Q$2:$Q$46,"Cursada aprobada")&gt;0)),OR(M34="",COUNTIF($F$2:$F$46,M34)=0,COUNTIFS($F$2:$F$46,M34,$Q$2:$Q$46,"Aprobada")&gt;0,AND(Resumen!$B$15="La cursada aprobada",COUNTIFS($F$2:$F$46,M34,$Q$2:$Q$46,"Cursada aprobada")&gt;0)),OR(N34="",COUNTIF($F$2:$F$46,N34)=0,COUNTIFS($F$2:$F$46,N34,$Q$2:$Q$46,"Aprobada")&gt;0,AND(Resumen!$B$15="La cursada aprobada",COUNTIFS($F$2:$F$46,N34,$Q$2:$Q$46,"Cursada aprobada")&gt;0)),OR(O34="",COUNTIF($F$2:$F$46,O34)=0,COUNTIFS($F$2:$F$46,O34,$Q$2:$Q$46,"Aprobada")&gt;0,AND(Resumen!$B$15="La cursada aprobada",COUNTIFS($F$2:$F$46,O34,$Q$2:$Q$46,"Cursada aprobada")&gt;0)),OR(P34="",COUNTIF($F$2:$F$46,P34)=0,COUNTIFS($F$2:$F$46,P34,$Q$2:$Q$46,"Aprobada")&gt;0,AND(Resumen!$B$15="La cursada aprobada",COUNTIFS($F$2:$F$46,P34,$Q$2:$Q$46,"Cursada aprobada")&gt;0))),"Sí","No")))</f>
        <v>No</v>
      </c>
      <c r="S34" s="8" t="str">
        <f aca="false">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</f>
        <v>314 280 218 409</v>
      </c>
      <c r="T34" s="9" t="str">
        <f aca="false">IF(Q34="Cursada aprobada",IF(AND(OR(L34="",COUNTIF($F$2:$F$46,L34)=0,COUNTIFS($F$2:$F$46,L34,$Q$2:$Q$46,"Aprobada")&gt;0),OR(M34="",COUNTIF($F$2:$F$46,M34)=0,COUNTIFS($F$2:$F$46,M34,$Q$2:$Q$46,"Aprobada")&gt;0),OR(N34="",COUNTIF($F$2:$F$46,N34)=0,COUNTIFS($F$2:$F$46,N34,$Q$2:$Q$46,"Aprobada")&gt;0),OR(O34="",COUNTIF($F$2:$F$46,O34)=0,COUNTIFS($F$2:$F$46,O34,$Q$2:$Q$46,"Aprobada")&gt;0),OR(P34="",COUNTIF($F$2:$F$46,P34)=0,COUNTIFS($F$2:$F$46,P34,$Q$2:$Q$46,"Aprobada")&gt;0)),"Sí","No"),"")</f>
        <v/>
      </c>
      <c r="U34" s="9" t="str">
        <f aca="false">IF(Q34="Aprobada",TRIM(IF(NOT(OR(L34="",COUNTIF($F$2:$F$46,L34)=0,COUNTIFS($F$2:$F$46,L34,$Q$2:$Q$46,"Aprobada")&gt;0)),L34&amp;" ","")&amp;IF(NOT(OR(M34="",COUNTIF($F$2:$F$46,M34)=0,COUNTIFS($F$2:$F$46,M34,$Q$2:$Q$46,"Aprobada")&gt;0)),M34&amp;" ","")&amp;IF(NOT(OR(N34="",COUNTIF($F$2:$F$46,N34)=0,COUNTIFS($F$2:$F$46,N34,$Q$2:$Q$46,"Aprobada")&gt;0)),N34&amp;" ","")&amp;IF(NOT(OR(O34="",COUNTIF($F$2:$F$46,O34)=0,COUNTIFS($F$2:$F$46,O34,$Q$2:$Q$46,"Aprobada")&gt;0)),O34&amp;" ","")&amp;IF(NOT(OR(P34="",COUNTIF($F$2:$F$46,P34)=0,COUNTIFS($F$2:$F$46,P34,$Q$2:$Q$46,"Aprobada")&gt;0)),P34&amp;" ","")),IF(Q34="Cursada aprobada",TRIM(IF(NOT(OR(L34="",COUNTIF($F$2:$F$46,L34)=0,COUNTIFS($F$2:$F$46,L34,$Q$2:$Q$46,"Aprobada")&gt;0,AND(Resumen!$B$15="La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","")),""))</f>
        <v/>
      </c>
    </row>
    <row r="35" customFormat="false" ht="15" hidden="false" customHeight="false" outlineLevel="0" collapsed="false">
      <c r="A35" s="8" t="s">
        <v>83</v>
      </c>
      <c r="B35" s="8"/>
      <c r="C35" s="9" t="n">
        <v>5</v>
      </c>
      <c r="D35" s="9" t="n">
        <v>2</v>
      </c>
      <c r="E35" s="9" t="s">
        <v>59</v>
      </c>
      <c r="F35" s="9" t="n">
        <v>520</v>
      </c>
      <c r="G35" s="8" t="s">
        <v>167</v>
      </c>
      <c r="H35" s="9" t="s">
        <v>92</v>
      </c>
      <c r="I35" s="9" t="n">
        <v>4</v>
      </c>
      <c r="J35" s="9" t="n">
        <v>32</v>
      </c>
      <c r="K35" s="9"/>
      <c r="L35" s="9" t="n">
        <v>346</v>
      </c>
      <c r="M35" s="9" t="n">
        <v>356</v>
      </c>
      <c r="N35" s="9" t="n">
        <v>410</v>
      </c>
      <c r="O35" s="9" t="n">
        <v>419</v>
      </c>
      <c r="P35" s="9" t="n">
        <v>448</v>
      </c>
      <c r="Q35" s="10" t="s">
        <v>62</v>
      </c>
      <c r="R35" s="9" t="str">
        <f aca="false">IF(Q35="Aprobada","Ya aprobada",IF(Q35="Cursada aprobada","Ya cursada",IF(AND(OR(L35="",COUNTIF($F$2:$F$46,L35)=0,COUNTIFS($F$2:$F$46,L35,$Q$2:$Q$46,"Aprobada")&gt;0,AND(Resumen!$B$15="La cursada aprobada",COUNTIFS($F$2:$F$46,L35,$Q$2:$Q$46,"Cursada aprobada")&gt;0)),OR(M35="",COUNTIF($F$2:$F$46,M35)=0,COUNTIFS($F$2:$F$46,M35,$Q$2:$Q$46,"Aprobada")&gt;0,AND(Resumen!$B$15="La cursada aprobada",COUNTIFS($F$2:$F$46,M35,$Q$2:$Q$46,"Cursada aprobada")&gt;0)),OR(N35="",COUNTIF($F$2:$F$46,N35)=0,COUNTIFS($F$2:$F$46,N35,$Q$2:$Q$46,"Aprobada")&gt;0,AND(Resumen!$B$15="La cursada aprobada",COUNTIFS($F$2:$F$46,N35,$Q$2:$Q$46,"Cursada aprobada")&gt;0)),OR(O35="",COUNTIF($F$2:$F$46,O35)=0,COUNTIFS($F$2:$F$46,O35,$Q$2:$Q$46,"Aprobada")&gt;0,AND(Resumen!$B$15="La cursada aprobada",COUNTIFS($F$2:$F$46,O35,$Q$2:$Q$46,"Cursada aprobada")&gt;0)),OR(P35="",COUNTIF($F$2:$F$46,P35)=0,COUNTIFS($F$2:$F$46,P35,$Q$2:$Q$46,"Aprobada")&gt;0,AND(Resumen!$B$15="La cursada aprobada",COUNTIFS($F$2:$F$46,P35,$Q$2:$Q$46,"Cursada aprobada")&gt;0))),"Sí","No")))</f>
        <v>No</v>
      </c>
      <c r="S35" s="8" t="str">
        <f aca="false">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</f>
        <v>346 356 410 419 448</v>
      </c>
      <c r="T35" s="9" t="str">
        <f aca="false">IF(Q35="Cursada aprobada",IF(AND(OR(L35="",COUNTIF($F$2:$F$46,L35)=0,COUNTIFS($F$2:$F$46,L35,$Q$2:$Q$46,"Aprobada")&gt;0),OR(M35="",COUNTIF($F$2:$F$46,M35)=0,COUNTIFS($F$2:$F$46,M35,$Q$2:$Q$46,"Aprobada")&gt;0),OR(N35="",COUNTIF($F$2:$F$46,N35)=0,COUNTIFS($F$2:$F$46,N35,$Q$2:$Q$46,"Aprobada")&gt;0),OR(O35="",COUNTIF($F$2:$F$46,O35)=0,COUNTIFS($F$2:$F$46,O35,$Q$2:$Q$46,"Aprobada")&gt;0),OR(P35="",COUNTIF($F$2:$F$46,P35)=0,COUNTIFS($F$2:$F$46,P35,$Q$2:$Q$46,"Aprobada")&gt;0)),"Sí","No"),"")</f>
        <v/>
      </c>
      <c r="U35" s="9" t="str">
        <f aca="false">IF(Q35="Aprobada",TRIM(IF(NOT(OR(L35="",COUNTIF($F$2:$F$46,L35)=0,COUNTIFS($F$2:$F$46,L35,$Q$2:$Q$46,"Aprobada")&gt;0)),L35&amp;" ","")&amp;IF(NOT(OR(M35="",COUNTIF($F$2:$F$46,M35)=0,COUNTIFS($F$2:$F$46,M35,$Q$2:$Q$46,"Aprobada")&gt;0)),M35&amp;" ","")&amp;IF(NOT(OR(N35="",COUNTIF($F$2:$F$46,N35)=0,COUNTIFS($F$2:$F$46,N35,$Q$2:$Q$46,"Aprobada")&gt;0)),N35&amp;" ","")&amp;IF(NOT(OR(O35="",COUNTIF($F$2:$F$46,O35)=0,COUNTIFS($F$2:$F$46,O35,$Q$2:$Q$46,"Aprobada")&gt;0)),O35&amp;" ","")&amp;IF(NOT(OR(P35="",COUNTIF($F$2:$F$46,P35)=0,COUNTIFS($F$2:$F$46,P35,$Q$2:$Q$46,"Aprobada")&gt;0)),P35&amp;" ","")),IF(Q35="Cursada aprobada",TRIM(IF(NOT(OR(L35="",COUNTIF($F$2:$F$46,L35)=0,COUNTIFS($F$2:$F$46,L35,$Q$2:$Q$46,"Aprobada")&gt;0,AND(Resumen!$B$15="La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","")),""))</f>
        <v/>
      </c>
    </row>
    <row r="36" customFormat="false" ht="15" hidden="false" customHeight="false" outlineLevel="0" collapsed="false">
      <c r="A36" s="8" t="s">
        <v>105</v>
      </c>
      <c r="B36" s="8" t="s">
        <v>168</v>
      </c>
      <c r="C36" s="9" t="n">
        <v>5</v>
      </c>
      <c r="D36" s="9" t="n">
        <v>2</v>
      </c>
      <c r="E36" s="9" t="s">
        <v>59</v>
      </c>
      <c r="F36" s="9" t="n">
        <v>548</v>
      </c>
      <c r="G36" s="8" t="s">
        <v>168</v>
      </c>
      <c r="H36" s="9"/>
      <c r="I36" s="9" t="n">
        <v>4</v>
      </c>
      <c r="J36" s="9"/>
      <c r="K36" s="9" t="n">
        <v>64</v>
      </c>
      <c r="L36" s="9" t="n">
        <v>556</v>
      </c>
      <c r="M36" s="9"/>
      <c r="N36" s="9"/>
      <c r="O36" s="9"/>
      <c r="P36" s="9"/>
      <c r="Q36" s="10" t="s">
        <v>62</v>
      </c>
      <c r="R36" s="9" t="str">
        <f aca="false">IF(Q36="Aprobada","Ya aprobada",IF(Q36="Cursada aprobada","Ya cursada",IF(AND(OR(L36="",COUNTIF($F$2:$F$46,L36)=0,COUNTIFS($F$2:$F$46,L36,$Q$2:$Q$46,"Aprobada")&gt;0,AND(Resumen!$B$15="La cursada aprobada",COUNTIFS($F$2:$F$46,L36,$Q$2:$Q$46,"Cursada aprobada")&gt;0)),OR(M36="",COUNTIF($F$2:$F$46,M36)=0,COUNTIFS($F$2:$F$46,M36,$Q$2:$Q$46,"Aprobada")&gt;0,AND(Resumen!$B$15="La cursada aprobada",COUNTIFS($F$2:$F$46,M36,$Q$2:$Q$46,"Cursada aprobada")&gt;0)),OR(N36="",COUNTIF($F$2:$F$46,N36)=0,COUNTIFS($F$2:$F$46,N36,$Q$2:$Q$46,"Aprobada")&gt;0,AND(Resumen!$B$15="La cursada aprobada",COUNTIFS($F$2:$F$46,N36,$Q$2:$Q$46,"Cursada aprobada")&gt;0)),OR(O36="",COUNTIF($F$2:$F$46,O36)=0,COUNTIFS($F$2:$F$46,O36,$Q$2:$Q$46,"Aprobada")&gt;0,AND(Resumen!$B$15="La cursada aprobada",COUNTIFS($F$2:$F$46,O36,$Q$2:$Q$46,"Cursada aprobada")&gt;0)),OR(P36="",COUNTIF($F$2:$F$46,P36)=0,COUNTIFS($F$2:$F$46,P36,$Q$2:$Q$46,"Aprobada")&gt;0,AND(Resumen!$B$15="La cursada aprobada",COUNTIFS($F$2:$F$46,P36,$Q$2:$Q$46,"Cursada aprobada")&gt;0))),"Sí","No")))</f>
        <v>No</v>
      </c>
      <c r="S36" s="8" t="str">
        <f aca="false">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</f>
        <v>556</v>
      </c>
      <c r="T36" s="9" t="str">
        <f aca="false">IF(Q36="Cursada aprobada",IF(AND(OR(L36="",COUNTIF($F$2:$F$46,L36)=0,COUNTIFS($F$2:$F$46,L36,$Q$2:$Q$46,"Aprobada")&gt;0),OR(M36="",COUNTIF($F$2:$F$46,M36)=0,COUNTIFS($F$2:$F$46,M36,$Q$2:$Q$46,"Aprobada")&gt;0),OR(N36="",COUNTIF($F$2:$F$46,N36)=0,COUNTIFS($F$2:$F$46,N36,$Q$2:$Q$46,"Aprobada")&gt;0),OR(O36="",COUNTIF($F$2:$F$46,O36)=0,COUNTIFS($F$2:$F$46,O36,$Q$2:$Q$46,"Aprobada")&gt;0),OR(P36="",COUNTIF($F$2:$F$46,P36)=0,COUNTIFS($F$2:$F$46,P36,$Q$2:$Q$46,"Aprobada")&gt;0)),"Sí","No"),"")</f>
        <v/>
      </c>
      <c r="U36" s="9" t="str">
        <f aca="false">IF(Q36="Aprobada",TRIM(IF(NOT(OR(L36="",COUNTIF($F$2:$F$46,L36)=0,COUNTIFS($F$2:$F$46,L36,$Q$2:$Q$46,"Aprobada")&gt;0)),L36&amp;" ","")&amp;IF(NOT(OR(M36="",COUNTIF($F$2:$F$46,M36)=0,COUNTIFS($F$2:$F$46,M36,$Q$2:$Q$46,"Aprobada")&gt;0)),M36&amp;" ","")&amp;IF(NOT(OR(N36="",COUNTIF($F$2:$F$46,N36)=0,COUNTIFS($F$2:$F$46,N36,$Q$2:$Q$46,"Aprobada")&gt;0)),N36&amp;" ","")&amp;IF(NOT(OR(O36="",COUNTIF($F$2:$F$46,O36)=0,COUNTIFS($F$2:$F$46,O36,$Q$2:$Q$46,"Aprobada")&gt;0)),O36&amp;" ","")&amp;IF(NOT(OR(P36="",COUNTIF($F$2:$F$46,P36)=0,COUNTIFS($F$2:$F$46,P36,$Q$2:$Q$46,"Aprobada")&gt;0)),P36&amp;" ","")),IF(Q36="Cursada aprobada",TRIM(IF(NOT(OR(L36="",COUNTIF($F$2:$F$46,L36)=0,COUNTIFS($F$2:$F$46,L36,$Q$2:$Q$46,"Aprobada")&gt;0,AND(Resumen!$B$15="La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","")),""))</f>
        <v/>
      </c>
    </row>
    <row r="37" customFormat="false" ht="15" hidden="false" customHeight="false" outlineLevel="0" collapsed="false">
      <c r="A37" s="8" t="s">
        <v>105</v>
      </c>
      <c r="B37" s="8" t="s">
        <v>169</v>
      </c>
      <c r="C37" s="9" t="n">
        <v>5</v>
      </c>
      <c r="D37" s="9" t="n">
        <v>2</v>
      </c>
      <c r="E37" s="9" t="s">
        <v>59</v>
      </c>
      <c r="F37" s="9" t="n">
        <v>549</v>
      </c>
      <c r="G37" s="8" t="s">
        <v>170</v>
      </c>
      <c r="H37" s="9"/>
      <c r="I37" s="9" t="n">
        <v>4</v>
      </c>
      <c r="J37" s="9"/>
      <c r="K37" s="9" t="n">
        <v>64</v>
      </c>
      <c r="L37" s="9" t="n">
        <v>409</v>
      </c>
      <c r="M37" s="9"/>
      <c r="N37" s="9"/>
      <c r="O37" s="9"/>
      <c r="P37" s="9"/>
      <c r="Q37" s="10" t="s">
        <v>62</v>
      </c>
      <c r="R37" s="9" t="str">
        <f aca="false">IF(Q37="Aprobada","Ya aprobada",IF(Q37="Cursada aprobada","Ya cursada",IF(AND(OR(L37="",COUNTIF($F$2:$F$46,L37)=0,COUNTIFS($F$2:$F$46,L37,$Q$2:$Q$46,"Aprobada")&gt;0,AND(Resumen!$B$15="La cursada aprobada",COUNTIFS($F$2:$F$46,L37,$Q$2:$Q$46,"Cursada aprobada")&gt;0)),OR(M37="",COUNTIF($F$2:$F$46,M37)=0,COUNTIFS($F$2:$F$46,M37,$Q$2:$Q$46,"Aprobada")&gt;0,AND(Resumen!$B$15="La cursada aprobada",COUNTIFS($F$2:$F$46,M37,$Q$2:$Q$46,"Cursada aprobada")&gt;0)),OR(N37="",COUNTIF($F$2:$F$46,N37)=0,COUNTIFS($F$2:$F$46,N37,$Q$2:$Q$46,"Aprobada")&gt;0,AND(Resumen!$B$15="La cursada aprobada",COUNTIFS($F$2:$F$46,N37,$Q$2:$Q$46,"Cursada aprobada")&gt;0)),OR(O37="",COUNTIF($F$2:$F$46,O37)=0,COUNTIFS($F$2:$F$46,O37,$Q$2:$Q$46,"Aprobada")&gt;0,AND(Resumen!$B$15="La cursada aprobada",COUNTIFS($F$2:$F$46,O37,$Q$2:$Q$46,"Cursada aprobada")&gt;0)),OR(P37="",COUNTIF($F$2:$F$46,P37)=0,COUNTIFS($F$2:$F$46,P37,$Q$2:$Q$46,"Aprobada")&gt;0,AND(Resumen!$B$15="La cursada aprobada",COUNTIFS($F$2:$F$46,P37,$Q$2:$Q$46,"Cursada aprobada")&gt;0))),"Sí","No")))</f>
        <v>No</v>
      </c>
      <c r="S37" s="8" t="str">
        <f aca="false">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</f>
        <v>409</v>
      </c>
      <c r="T37" s="9" t="str">
        <f aca="false">IF(Q37="Cursada aprobada",IF(AND(OR(L37="",COUNTIF($F$2:$F$46,L37)=0,COUNTIFS($F$2:$F$46,L37,$Q$2:$Q$46,"Aprobada")&gt;0),OR(M37="",COUNTIF($F$2:$F$46,M37)=0,COUNTIFS($F$2:$F$46,M37,$Q$2:$Q$46,"Aprobada")&gt;0),OR(N37="",COUNTIF($F$2:$F$46,N37)=0,COUNTIFS($F$2:$F$46,N37,$Q$2:$Q$46,"Aprobada")&gt;0),OR(O37="",COUNTIF($F$2:$F$46,O37)=0,COUNTIFS($F$2:$F$46,O37,$Q$2:$Q$46,"Aprobada")&gt;0),OR(P37="",COUNTIF($F$2:$F$46,P37)=0,COUNTIFS($F$2:$F$46,P37,$Q$2:$Q$46,"Aprobada")&gt;0)),"Sí","No"),"")</f>
        <v/>
      </c>
      <c r="U37" s="9" t="str">
        <f aca="false">IF(Q37="Aprobada",TRIM(IF(NOT(OR(L37="",COUNTIF($F$2:$F$46,L37)=0,COUNTIFS($F$2:$F$46,L37,$Q$2:$Q$46,"Aprobada")&gt;0)),L37&amp;" ","")&amp;IF(NOT(OR(M37="",COUNTIF($F$2:$F$46,M37)=0,COUNTIFS($F$2:$F$46,M37,$Q$2:$Q$46,"Aprobada")&gt;0)),M37&amp;" ","")&amp;IF(NOT(OR(N37="",COUNTIF($F$2:$F$46,N37)=0,COUNTIFS($F$2:$F$46,N37,$Q$2:$Q$46,"Aprobada")&gt;0)),N37&amp;" ","")&amp;IF(NOT(OR(O37="",COUNTIF($F$2:$F$46,O37)=0,COUNTIFS($F$2:$F$46,O37,$Q$2:$Q$46,"Aprobada")&gt;0)),O37&amp;" ","")&amp;IF(NOT(OR(P37="",COUNTIF($F$2:$F$46,P37)=0,COUNTIFS($F$2:$F$46,P37,$Q$2:$Q$46,"Aprobada")&gt;0)),P37&amp;" ","")),IF(Q37="Cursada aprobada",TRIM(IF(NOT(OR(L37="",COUNTIF($F$2:$F$46,L37)=0,COUNTIFS($F$2:$F$46,L37,$Q$2:$Q$46,"Aprobada")&gt;0,AND(Resumen!$B$15="La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","")),""))</f>
        <v/>
      </c>
    </row>
    <row r="38" customFormat="false" ht="15" hidden="false" customHeight="false" outlineLevel="0" collapsed="false">
      <c r="A38" s="8" t="s">
        <v>105</v>
      </c>
      <c r="B38" s="8" t="s">
        <v>171</v>
      </c>
      <c r="C38" s="9" t="n">
        <v>5</v>
      </c>
      <c r="D38" s="9" t="n">
        <v>2</v>
      </c>
      <c r="E38" s="9" t="s">
        <v>59</v>
      </c>
      <c r="F38" s="9" t="n">
        <v>550</v>
      </c>
      <c r="G38" s="8" t="s">
        <v>146</v>
      </c>
      <c r="H38" s="9"/>
      <c r="I38" s="9" t="n">
        <v>4</v>
      </c>
      <c r="J38" s="9"/>
      <c r="K38" s="9" t="n">
        <v>64</v>
      </c>
      <c r="L38" s="9" t="n">
        <v>349</v>
      </c>
      <c r="M38" s="9"/>
      <c r="N38" s="9"/>
      <c r="O38" s="9"/>
      <c r="P38" s="9"/>
      <c r="Q38" s="10" t="s">
        <v>62</v>
      </c>
      <c r="R38" s="9" t="str">
        <f aca="false">IF(Q38="Aprobada","Ya aprobada",IF(Q38="Cursada aprobada","Ya cursada",IF(AND(OR(L38="",COUNTIF($F$2:$F$46,L38)=0,COUNTIFS($F$2:$F$46,L38,$Q$2:$Q$46,"Aprobada")&gt;0,AND(Resumen!$B$15="La cursada aprobada",COUNTIFS($F$2:$F$46,L38,$Q$2:$Q$46,"Cursada aprobada")&gt;0)),OR(M38="",COUNTIF($F$2:$F$46,M38)=0,COUNTIFS($F$2:$F$46,M38,$Q$2:$Q$46,"Aprobada")&gt;0,AND(Resumen!$B$15="La cursada aprobada",COUNTIFS($F$2:$F$46,M38,$Q$2:$Q$46,"Cursada aprobada")&gt;0)),OR(N38="",COUNTIF($F$2:$F$46,N38)=0,COUNTIFS($F$2:$F$46,N38,$Q$2:$Q$46,"Aprobada")&gt;0,AND(Resumen!$B$15="La cursada aprobada",COUNTIFS($F$2:$F$46,N38,$Q$2:$Q$46,"Cursada aprobada")&gt;0)),OR(O38="",COUNTIF($F$2:$F$46,O38)=0,COUNTIFS($F$2:$F$46,O38,$Q$2:$Q$46,"Aprobada")&gt;0,AND(Resumen!$B$15="La cursada aprobada",COUNTIFS($F$2:$F$46,O38,$Q$2:$Q$46,"Cursada aprobada")&gt;0)),OR(P38="",COUNTIF($F$2:$F$46,P38)=0,COUNTIFS($F$2:$F$46,P38,$Q$2:$Q$46,"Aprobada")&gt;0,AND(Resumen!$B$15="La cursada aprobada",COUNTIFS($F$2:$F$46,P38,$Q$2:$Q$46,"Cursada aprobada")&gt;0))),"Sí","No")))</f>
        <v>No</v>
      </c>
      <c r="S38" s="8" t="str">
        <f aca="false">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</f>
        <v>349</v>
      </c>
      <c r="T38" s="9" t="str">
        <f aca="false">IF(Q38="Cursada aprobada",IF(AND(OR(L38="",COUNTIF($F$2:$F$46,L38)=0,COUNTIFS($F$2:$F$46,L38,$Q$2:$Q$46,"Aprobada")&gt;0),OR(M38="",COUNTIF($F$2:$F$46,M38)=0,COUNTIFS($F$2:$F$46,M38,$Q$2:$Q$46,"Aprobada")&gt;0),OR(N38="",COUNTIF($F$2:$F$46,N38)=0,COUNTIFS($F$2:$F$46,N38,$Q$2:$Q$46,"Aprobada")&gt;0),OR(O38="",COUNTIF($F$2:$F$46,O38)=0,COUNTIFS($F$2:$F$46,O38,$Q$2:$Q$46,"Aprobada")&gt;0),OR(P38="",COUNTIF($F$2:$F$46,P38)=0,COUNTIFS($F$2:$F$46,P38,$Q$2:$Q$46,"Aprobada")&gt;0)),"Sí","No"),"")</f>
        <v/>
      </c>
      <c r="U38" s="9" t="str">
        <f aca="false">IF(Q38="Aprobada",TRIM(IF(NOT(OR(L38="",COUNTIF($F$2:$F$46,L38)=0,COUNTIFS($F$2:$F$46,L38,$Q$2:$Q$46,"Aprobada")&gt;0)),L38&amp;" ","")&amp;IF(NOT(OR(M38="",COUNTIF($F$2:$F$46,M38)=0,COUNTIFS($F$2:$F$46,M38,$Q$2:$Q$46,"Aprobada")&gt;0)),M38&amp;" ","")&amp;IF(NOT(OR(N38="",COUNTIF($F$2:$F$46,N38)=0,COUNTIFS($F$2:$F$46,N38,$Q$2:$Q$46,"Aprobada")&gt;0)),N38&amp;" ","")&amp;IF(NOT(OR(O38="",COUNTIF($F$2:$F$46,O38)=0,COUNTIFS($F$2:$F$46,O38,$Q$2:$Q$46,"Aprobada")&gt;0)),O38&amp;" ","")&amp;IF(NOT(OR(P38="",COUNTIF($F$2:$F$46,P38)=0,COUNTIFS($F$2:$F$46,P38,$Q$2:$Q$46,"Aprobada")&gt;0)),P38&amp;" ","")),IF(Q38="Cursada aprobada",TRIM(IF(NOT(OR(L38="",COUNTIF($F$2:$F$46,L38)=0,COUNTIFS($F$2:$F$46,L38,$Q$2:$Q$46,"Aprobada")&gt;0,AND(Resumen!$B$15="La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","")),""))</f>
        <v/>
      </c>
    </row>
    <row r="39" customFormat="false" ht="15" hidden="false" customHeight="false" outlineLevel="0" collapsed="false">
      <c r="A39" s="8" t="s">
        <v>116</v>
      </c>
      <c r="B39" s="8"/>
      <c r="C39" s="9"/>
      <c r="D39" s="9"/>
      <c r="E39" s="9" t="s">
        <v>99</v>
      </c>
      <c r="F39" s="9" t="n">
        <v>598</v>
      </c>
      <c r="G39" s="8" t="s">
        <v>117</v>
      </c>
      <c r="H39" s="9"/>
      <c r="I39" s="9"/>
      <c r="J39" s="9"/>
      <c r="K39" s="9"/>
      <c r="L39" s="9"/>
      <c r="M39" s="9"/>
      <c r="N39" s="9"/>
      <c r="O39" s="9"/>
      <c r="P39" s="9"/>
      <c r="Q39" s="10" t="s">
        <v>62</v>
      </c>
      <c r="R39" s="9" t="str">
        <f aca="false">IF(Q39="Aprobada","Ya aprobada",IF(Q39="Cursada aprobada","Ya cursada",IF(AND(OR(L39="",COUNTIF($F$2:$F$46,L39)=0,COUNTIFS($F$2:$F$46,L39,$Q$2:$Q$46,"Aprobada")&gt;0,AND(Resumen!$B$15="La cursada aprobada",COUNTIFS($F$2:$F$46,L39,$Q$2:$Q$46,"Cursada aprobada")&gt;0)),OR(M39="",COUNTIF($F$2:$F$46,M39)=0,COUNTIFS($F$2:$F$46,M39,$Q$2:$Q$46,"Aprobada")&gt;0,AND(Resumen!$B$15="La cursada aprobada",COUNTIFS($F$2:$F$46,M39,$Q$2:$Q$46,"Cursada aprobada")&gt;0)),OR(N39="",COUNTIF($F$2:$F$46,N39)=0,COUNTIFS($F$2:$F$46,N39,$Q$2:$Q$46,"Aprobada")&gt;0,AND(Resumen!$B$15="La cursada aprobada",COUNTIFS($F$2:$F$46,N39,$Q$2:$Q$46,"Cursada aprobada")&gt;0)),OR(O39="",COUNTIF($F$2:$F$46,O39)=0,COUNTIFS($F$2:$F$46,O39,$Q$2:$Q$46,"Aprobada")&gt;0,AND(Resumen!$B$15="La cursada aprobada",COUNTIFS($F$2:$F$46,O39,$Q$2:$Q$46,"Cursada aprobada")&gt;0)),OR(P39="",COUNTIF($F$2:$F$46,P39)=0,COUNTIFS($F$2:$F$46,P39,$Q$2:$Q$46,"Aprobada")&gt;0,AND(Resumen!$B$15="La cursada aprobada",COUNTIFS($F$2:$F$46,P39,$Q$2:$Q$46,"Cursada aprobada")&gt;0))),"Sí","No")))</f>
        <v>Sí</v>
      </c>
      <c r="S39" s="8" t="str">
        <f aca="false">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</f>
        <v/>
      </c>
      <c r="T39" s="9" t="str">
        <f aca="false">IF(Q39="Cursada aprobada",IF(AND(OR(L39="",COUNTIF($F$2:$F$46,L39)=0,COUNTIFS($F$2:$F$46,L39,$Q$2:$Q$46,"Aprobada")&gt;0),OR(M39="",COUNTIF($F$2:$F$46,M39)=0,COUNTIFS($F$2:$F$46,M39,$Q$2:$Q$46,"Aprobada")&gt;0),OR(N39="",COUNTIF($F$2:$F$46,N39)=0,COUNTIFS($F$2:$F$46,N39,$Q$2:$Q$46,"Aprobada")&gt;0),OR(O39="",COUNTIF($F$2:$F$46,O39)=0,COUNTIFS($F$2:$F$46,O39,$Q$2:$Q$46,"Aprobada")&gt;0),OR(P39="",COUNTIF($F$2:$F$46,P39)=0,COUNTIFS($F$2:$F$46,P39,$Q$2:$Q$46,"Aprobada")&gt;0)),"Sí","No"),"")</f>
        <v/>
      </c>
      <c r="U39" s="9" t="str">
        <f aca="false">IF(Q39="Aprobada",TRIM(IF(NOT(OR(L39="",COUNTIF($F$2:$F$46,L39)=0,COUNTIFS($F$2:$F$46,L39,$Q$2:$Q$46,"Aprobada")&gt;0)),L39&amp;" ","")&amp;IF(NOT(OR(M39="",COUNTIF($F$2:$F$46,M39)=0,COUNTIFS($F$2:$F$46,M39,$Q$2:$Q$46,"Aprobada")&gt;0)),M39&amp;" ","")&amp;IF(NOT(OR(N39="",COUNTIF($F$2:$F$46,N39)=0,COUNTIFS($F$2:$F$46,N39,$Q$2:$Q$46,"Aprobada")&gt;0)),N39&amp;" ","")&amp;IF(NOT(OR(O39="",COUNTIF($F$2:$F$46,O39)=0,COUNTIFS($F$2:$F$46,O39,$Q$2:$Q$46,"Aprobada")&gt;0)),O39&amp;" ","")&amp;IF(NOT(OR(P39="",COUNTIF($F$2:$F$46,P39)=0,COUNTIFS($F$2:$F$46,P39,$Q$2:$Q$46,"Aprobada")&gt;0)),P39&amp;" ","")),IF(Q39="Cursada aprobada",TRIM(IF(NOT(OR(L39="",COUNTIF($F$2:$F$46,L39)=0,COUNTIFS($F$2:$F$46,L39,$Q$2:$Q$46,"Aprobada")&gt;0,AND(Resumen!$B$15="La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","")),""))</f>
        <v/>
      </c>
    </row>
    <row r="40" customFormat="false" ht="15" hidden="false" customHeight="false" outlineLevel="0" collapsed="false">
      <c r="A40" s="8" t="s">
        <v>116</v>
      </c>
      <c r="B40" s="8"/>
      <c r="C40" s="9"/>
      <c r="D40" s="9"/>
      <c r="E40" s="9" t="s">
        <v>99</v>
      </c>
      <c r="F40" s="9" t="n">
        <v>599</v>
      </c>
      <c r="G40" s="8" t="s">
        <v>172</v>
      </c>
      <c r="H40" s="9"/>
      <c r="I40" s="9"/>
      <c r="J40" s="9"/>
      <c r="K40" s="9"/>
      <c r="L40" s="9"/>
      <c r="M40" s="9"/>
      <c r="N40" s="9"/>
      <c r="O40" s="9"/>
      <c r="P40" s="9"/>
      <c r="Q40" s="10" t="s">
        <v>62</v>
      </c>
      <c r="R40" s="9" t="str">
        <f aca="false">IF(Q40="Aprobada","Ya aprobada",IF(Q40="Cursada aprobada","Ya cursada",IF(AND(OR(L40="",COUNTIF($F$2:$F$46,L40)=0,COUNTIFS($F$2:$F$46,L40,$Q$2:$Q$46,"Aprobada")&gt;0,AND(Resumen!$B$15="La cursada aprobada",COUNTIFS($F$2:$F$46,L40,$Q$2:$Q$46,"Cursada aprobada")&gt;0)),OR(M40="",COUNTIF($F$2:$F$46,M40)=0,COUNTIFS($F$2:$F$46,M40,$Q$2:$Q$46,"Aprobada")&gt;0,AND(Resumen!$B$15="La cursada aprobada",COUNTIFS($F$2:$F$46,M40,$Q$2:$Q$46,"Cursada aprobada")&gt;0)),OR(N40="",COUNTIF($F$2:$F$46,N40)=0,COUNTIFS($F$2:$F$46,N40,$Q$2:$Q$46,"Aprobada")&gt;0,AND(Resumen!$B$15="La cursada aprobada",COUNTIFS($F$2:$F$46,N40,$Q$2:$Q$46,"Cursada aprobada")&gt;0)),OR(O40="",COUNTIF($F$2:$F$46,O40)=0,COUNTIFS($F$2:$F$46,O40,$Q$2:$Q$46,"Aprobada")&gt;0,AND(Resumen!$B$15="La cursada aprobada",COUNTIFS($F$2:$F$46,O40,$Q$2:$Q$46,"Cursada aprobada")&gt;0)),OR(P40="",COUNTIF($F$2:$F$46,P40)=0,COUNTIFS($F$2:$F$46,P40,$Q$2:$Q$46,"Aprobada")&gt;0,AND(Resumen!$B$15="La cursada aprobada",COUNTIFS($F$2:$F$46,P40,$Q$2:$Q$46,"Cursada aprobada")&gt;0))),"Sí","No")))</f>
        <v>Sí</v>
      </c>
      <c r="S40" s="8" t="str">
        <f aca="false">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</f>
        <v/>
      </c>
      <c r="T40" s="9" t="str">
        <f aca="false">IF(Q40="Cursada aprobada",IF(AND(OR(L40="",COUNTIF($F$2:$F$46,L40)=0,COUNTIFS($F$2:$F$46,L40,$Q$2:$Q$46,"Aprobada")&gt;0),OR(M40="",COUNTIF($F$2:$F$46,M40)=0,COUNTIFS($F$2:$F$46,M40,$Q$2:$Q$46,"Aprobada")&gt;0),OR(N40="",COUNTIF($F$2:$F$46,N40)=0,COUNTIFS($F$2:$F$46,N40,$Q$2:$Q$46,"Aprobada")&gt;0),OR(O40="",COUNTIF($F$2:$F$46,O40)=0,COUNTIFS($F$2:$F$46,O40,$Q$2:$Q$46,"Aprobada")&gt;0),OR(P40="",COUNTIF($F$2:$F$46,P40)=0,COUNTIFS($F$2:$F$46,P40,$Q$2:$Q$46,"Aprobada")&gt;0)),"Sí","No"),"")</f>
        <v/>
      </c>
      <c r="U40" s="9" t="str">
        <f aca="false">IF(Q40="Aprobada",TRIM(IF(NOT(OR(L40="",COUNTIF($F$2:$F$46,L40)=0,COUNTIFS($F$2:$F$46,L40,$Q$2:$Q$46,"Aprobada")&gt;0)),L40&amp;" ","")&amp;IF(NOT(OR(M40="",COUNTIF($F$2:$F$46,M40)=0,COUNTIFS($F$2:$F$46,M40,$Q$2:$Q$46,"Aprobada")&gt;0)),M40&amp;" ","")&amp;IF(NOT(OR(N40="",COUNTIF($F$2:$F$46,N40)=0,COUNTIFS($F$2:$F$46,N40,$Q$2:$Q$46,"Aprobada")&gt;0)),N40&amp;" ","")&amp;IF(NOT(OR(O40="",COUNTIF($F$2:$F$46,O40)=0,COUNTIFS($F$2:$F$46,O40,$Q$2:$Q$46,"Aprobada")&gt;0)),O40&amp;" ","")&amp;IF(NOT(OR(P40="",COUNTIF($F$2:$F$46,P40)=0,COUNTIFS($F$2:$F$46,P40,$Q$2:$Q$46,"Aprobada")&gt;0)),P40&amp;" ","")),IF(Q40="Cursada aprobada",TRIM(IF(NOT(OR(L40="",COUNTIF($F$2:$F$46,L40)=0,COUNTIFS($F$2:$F$46,L40,$Q$2:$Q$46,"Aprobada")&gt;0,AND(Resumen!$B$15="La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","")),""))</f>
        <v/>
      </c>
    </row>
    <row r="41" customFormat="false" ht="15" hidden="false" customHeight="false" outlineLevel="0" collapsed="false">
      <c r="A41" s="8" t="s">
        <v>116</v>
      </c>
      <c r="B41" s="8"/>
      <c r="C41" s="9"/>
      <c r="D41" s="9"/>
      <c r="E41" s="9" t="s">
        <v>63</v>
      </c>
      <c r="F41" s="9" t="n">
        <v>300</v>
      </c>
      <c r="G41" s="8" t="s">
        <v>118</v>
      </c>
      <c r="H41" s="9"/>
      <c r="I41" s="9"/>
      <c r="J41" s="9"/>
      <c r="K41" s="9"/>
      <c r="L41" s="9"/>
      <c r="M41" s="9"/>
      <c r="N41" s="9"/>
      <c r="O41" s="9"/>
      <c r="P41" s="9"/>
      <c r="Q41" s="10" t="s">
        <v>62</v>
      </c>
      <c r="R41" s="9" t="str">
        <f aca="false">IF(Q41="Aprobada","Ya aprobada",IF(Q41="Cursada aprobada","Ya cursada",IF(AND(OR(L41="",COUNTIF($F$2:$F$46,L41)=0,COUNTIFS($F$2:$F$46,L41,$Q$2:$Q$46,"Aprobada")&gt;0,AND(Resumen!$B$15="La cursada aprobada",COUNTIFS($F$2:$F$46,L41,$Q$2:$Q$46,"Cursada aprobada")&gt;0)),OR(M41="",COUNTIF($F$2:$F$46,M41)=0,COUNTIFS($F$2:$F$46,M41,$Q$2:$Q$46,"Aprobada")&gt;0,AND(Resumen!$B$15="La cursada aprobada",COUNTIFS($F$2:$F$46,M41,$Q$2:$Q$46,"Cursada aprobada")&gt;0)),OR(N41="",COUNTIF($F$2:$F$46,N41)=0,COUNTIFS($F$2:$F$46,N41,$Q$2:$Q$46,"Aprobada")&gt;0,AND(Resumen!$B$15="La cursada aprobada",COUNTIFS($F$2:$F$46,N41,$Q$2:$Q$46,"Cursada aprobada")&gt;0)),OR(O41="",COUNTIF($F$2:$F$46,O41)=0,COUNTIFS($F$2:$F$46,O41,$Q$2:$Q$46,"Aprobada")&gt;0,AND(Resumen!$B$15="La cursada aprobada",COUNTIFS($F$2:$F$46,O41,$Q$2:$Q$46,"Cursada aprobada")&gt;0)),OR(P41="",COUNTIF($F$2:$F$46,P41)=0,COUNTIFS($F$2:$F$46,P41,$Q$2:$Q$46,"Aprobada")&gt;0,AND(Resumen!$B$15="La cursada aprobada",COUNTIFS($F$2:$F$46,P41,$Q$2:$Q$46,"Cursada aprobada")&gt;0))),"Sí","No")))</f>
        <v>Sí</v>
      </c>
      <c r="S41" s="8" t="str">
        <f aca="false">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</f>
        <v/>
      </c>
      <c r="T41" s="9" t="str">
        <f aca="false">IF(Q41="Cursada aprobada",IF(AND(OR(L41="",COUNTIF($F$2:$F$46,L41)=0,COUNTIFS($F$2:$F$46,L41,$Q$2:$Q$46,"Aprobada")&gt;0),OR(M41="",COUNTIF($F$2:$F$46,M41)=0,COUNTIFS($F$2:$F$46,M41,$Q$2:$Q$46,"Aprobada")&gt;0),OR(N41="",COUNTIF($F$2:$F$46,N41)=0,COUNTIFS($F$2:$F$46,N41,$Q$2:$Q$46,"Aprobada")&gt;0),OR(O41="",COUNTIF($F$2:$F$46,O41)=0,COUNTIFS($F$2:$F$46,O41,$Q$2:$Q$46,"Aprobada")&gt;0),OR(P41="",COUNTIF($F$2:$F$46,P41)=0,COUNTIFS($F$2:$F$46,P41,$Q$2:$Q$46,"Aprobada")&gt;0)),"Sí","No"),"")</f>
        <v/>
      </c>
      <c r="U41" s="9" t="str">
        <f aca="false">IF(Q41="Aprobada",TRIM(IF(NOT(OR(L41="",COUNTIF($F$2:$F$46,L41)=0,COUNTIFS($F$2:$F$46,L41,$Q$2:$Q$46,"Aprobada")&gt;0)),L41&amp;" ","")&amp;IF(NOT(OR(M41="",COUNTIF($F$2:$F$46,M41)=0,COUNTIFS($F$2:$F$46,M41,$Q$2:$Q$46,"Aprobada")&gt;0)),M41&amp;" ","")&amp;IF(NOT(OR(N41="",COUNTIF($F$2:$F$46,N41)=0,COUNTIFS($F$2:$F$46,N41,$Q$2:$Q$46,"Aprobada")&gt;0)),N41&amp;" ","")&amp;IF(NOT(OR(O41="",COUNTIF($F$2:$F$46,O41)=0,COUNTIFS($F$2:$F$46,O41,$Q$2:$Q$46,"Aprobada")&gt;0)),O41&amp;" ","")&amp;IF(NOT(OR(P41="",COUNTIF($F$2:$F$46,P41)=0,COUNTIFS($F$2:$F$46,P41,$Q$2:$Q$46,"Aprobada")&gt;0)),P41&amp;" ","")),IF(Q41="Cursada aprobada",TRIM(IF(NOT(OR(L41="",COUNTIF($F$2:$F$46,L41)=0,COUNTIFS($F$2:$F$46,L41,$Q$2:$Q$46,"Aprobada")&gt;0,AND(Resumen!$B$15="La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","")),""))</f>
        <v/>
      </c>
    </row>
    <row r="42" customFormat="false" ht="15" hidden="false" customHeight="false" outlineLevel="0" collapsed="false">
      <c r="A42" s="8" t="s">
        <v>116</v>
      </c>
      <c r="B42" s="8"/>
      <c r="C42" s="9"/>
      <c r="D42" s="9"/>
      <c r="E42" s="9" t="s">
        <v>99</v>
      </c>
      <c r="F42" s="9" t="n">
        <v>289</v>
      </c>
      <c r="G42" s="8" t="s">
        <v>119</v>
      </c>
      <c r="H42" s="9"/>
      <c r="I42" s="9"/>
      <c r="J42" s="9"/>
      <c r="K42" s="9"/>
      <c r="L42" s="9"/>
      <c r="M42" s="9"/>
      <c r="N42" s="9"/>
      <c r="O42" s="9"/>
      <c r="P42" s="9"/>
      <c r="Q42" s="10" t="s">
        <v>62</v>
      </c>
      <c r="R42" s="9" t="str">
        <f aca="false">IF(Q42="Aprobada","Ya aprobada",IF(Q42="Cursada aprobada","Ya cursada",IF(AND(OR(L42="",COUNTIF($F$2:$F$46,L42)=0,COUNTIFS($F$2:$F$46,L42,$Q$2:$Q$46,"Aprobada")&gt;0,AND(Resumen!$B$15="La cursada aprobada",COUNTIFS($F$2:$F$46,L42,$Q$2:$Q$46,"Cursada aprobada")&gt;0)),OR(M42="",COUNTIF($F$2:$F$46,M42)=0,COUNTIFS($F$2:$F$46,M42,$Q$2:$Q$46,"Aprobada")&gt;0,AND(Resumen!$B$15="La cursada aprobada",COUNTIFS($F$2:$F$46,M42,$Q$2:$Q$46,"Cursada aprobada")&gt;0)),OR(N42="",COUNTIF($F$2:$F$46,N42)=0,COUNTIFS($F$2:$F$46,N42,$Q$2:$Q$46,"Aprobada")&gt;0,AND(Resumen!$B$15="La cursada aprobada",COUNTIFS($F$2:$F$46,N42,$Q$2:$Q$46,"Cursada aprobada")&gt;0)),OR(O42="",COUNTIF($F$2:$F$46,O42)=0,COUNTIFS($F$2:$F$46,O42,$Q$2:$Q$46,"Aprobada")&gt;0,AND(Resumen!$B$15="La cursada aprobada",COUNTIFS($F$2:$F$46,O42,$Q$2:$Q$46,"Cursada aprobada")&gt;0)),OR(P42="",COUNTIF($F$2:$F$46,P42)=0,COUNTIFS($F$2:$F$46,P42,$Q$2:$Q$46,"Aprobada")&gt;0,AND(Resumen!$B$15="La cursada aprobada",COUNTIFS($F$2:$F$46,P42,$Q$2:$Q$46,"Cursada aprobada")&gt;0))),"Sí","No")))</f>
        <v>Sí</v>
      </c>
      <c r="S42" s="8" t="str">
        <f aca="false">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</f>
        <v/>
      </c>
      <c r="T42" s="9" t="str">
        <f aca="false">IF(Q42="Cursada aprobada",IF(AND(OR(L42="",COUNTIF($F$2:$F$46,L42)=0,COUNTIFS($F$2:$F$46,L42,$Q$2:$Q$46,"Aprobada")&gt;0),OR(M42="",COUNTIF($F$2:$F$46,M42)=0,COUNTIFS($F$2:$F$46,M42,$Q$2:$Q$46,"Aprobada")&gt;0),OR(N42="",COUNTIF($F$2:$F$46,N42)=0,COUNTIFS($F$2:$F$46,N42,$Q$2:$Q$46,"Aprobada")&gt;0),OR(O42="",COUNTIF($F$2:$F$46,O42)=0,COUNTIFS($F$2:$F$46,O42,$Q$2:$Q$46,"Aprobada")&gt;0),OR(P42="",COUNTIF($F$2:$F$46,P42)=0,COUNTIFS($F$2:$F$46,P42,$Q$2:$Q$46,"Aprobada")&gt;0)),"Sí","No"),"")</f>
        <v/>
      </c>
      <c r="U42" s="9" t="str">
        <f aca="false">IF(Q42="Aprobada",TRIM(IF(NOT(OR(L42="",COUNTIF($F$2:$F$46,L42)=0,COUNTIFS($F$2:$F$46,L42,$Q$2:$Q$46,"Aprobada")&gt;0)),L42&amp;" ","")&amp;IF(NOT(OR(M42="",COUNTIF($F$2:$F$46,M42)=0,COUNTIFS($F$2:$F$46,M42,$Q$2:$Q$46,"Aprobada")&gt;0)),M42&amp;" ","")&amp;IF(NOT(OR(N42="",COUNTIF($F$2:$F$46,N42)=0,COUNTIFS($F$2:$F$46,N42,$Q$2:$Q$46,"Aprobada")&gt;0)),N42&amp;" ","")&amp;IF(NOT(OR(O42="",COUNTIF($F$2:$F$46,O42)=0,COUNTIFS($F$2:$F$46,O42,$Q$2:$Q$46,"Aprobada")&gt;0)),O42&amp;" ","")&amp;IF(NOT(OR(P42="",COUNTIF($F$2:$F$46,P42)=0,COUNTIFS($F$2:$F$46,P42,$Q$2:$Q$46,"Aprobada")&gt;0)),P42&amp;" ","")),IF(Q42="Cursada aprobada",TRIM(IF(NOT(OR(L42="",COUNTIF($F$2:$F$46,L42)=0,COUNTIFS($F$2:$F$46,L42,$Q$2:$Q$46,"Aprobada")&gt;0,AND(Resumen!$B$15="La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","")),""))</f>
        <v/>
      </c>
    </row>
    <row r="43" customFormat="false" ht="15" hidden="false" customHeight="false" outlineLevel="0" collapsed="false">
      <c r="A43" s="8" t="s">
        <v>116</v>
      </c>
      <c r="B43" s="8"/>
      <c r="C43" s="9"/>
      <c r="D43" s="9"/>
      <c r="E43" s="9" t="s">
        <v>120</v>
      </c>
      <c r="F43" s="9" t="n">
        <v>296</v>
      </c>
      <c r="G43" s="8" t="s">
        <v>121</v>
      </c>
      <c r="H43" s="9"/>
      <c r="I43" s="9"/>
      <c r="J43" s="9"/>
      <c r="K43" s="9"/>
      <c r="L43" s="9"/>
      <c r="M43" s="9"/>
      <c r="N43" s="9"/>
      <c r="O43" s="9"/>
      <c r="P43" s="9"/>
      <c r="Q43" s="10" t="s">
        <v>62</v>
      </c>
      <c r="R43" s="9" t="str">
        <f aca="false">IF(Q43="Aprobada","Ya aprobada",IF(Q43="Cursada aprobada","Ya cursada",IF(AND(OR(L43="",COUNTIF($F$2:$F$46,L43)=0,COUNTIFS($F$2:$F$46,L43,$Q$2:$Q$46,"Aprobada")&gt;0,AND(Resumen!$B$15="La cursada aprobada",COUNTIFS($F$2:$F$46,L43,$Q$2:$Q$46,"Cursada aprobada")&gt;0)),OR(M43="",COUNTIF($F$2:$F$46,M43)=0,COUNTIFS($F$2:$F$46,M43,$Q$2:$Q$46,"Aprobada")&gt;0,AND(Resumen!$B$15="La cursada aprobada",COUNTIFS($F$2:$F$46,M43,$Q$2:$Q$46,"Cursada aprobada")&gt;0)),OR(N43="",COUNTIF($F$2:$F$46,N43)=0,COUNTIFS($F$2:$F$46,N43,$Q$2:$Q$46,"Aprobada")&gt;0,AND(Resumen!$B$15="La cursada aprobada",COUNTIFS($F$2:$F$46,N43,$Q$2:$Q$46,"Cursada aprobada")&gt;0)),OR(O43="",COUNTIF($F$2:$F$46,O43)=0,COUNTIFS($F$2:$F$46,O43,$Q$2:$Q$46,"Aprobada")&gt;0,AND(Resumen!$B$15="La cursada aprobada",COUNTIFS($F$2:$F$46,O43,$Q$2:$Q$46,"Cursada aprobada")&gt;0)),OR(P43="",COUNTIF($F$2:$F$46,P43)=0,COUNTIFS($F$2:$F$46,P43,$Q$2:$Q$46,"Aprobada")&gt;0,AND(Resumen!$B$15="La cursada aprobada",COUNTIFS($F$2:$F$46,P43,$Q$2:$Q$46,"Cursada aprobada")&gt;0))),"Sí","No")))</f>
        <v>Sí</v>
      </c>
      <c r="S43" s="8" t="str">
        <f aca="false">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</f>
        <v/>
      </c>
      <c r="T43" s="9" t="str">
        <f aca="false">IF(Q43="Cursada aprobada",IF(AND(OR(L43="",COUNTIF($F$2:$F$46,L43)=0,COUNTIFS($F$2:$F$46,L43,$Q$2:$Q$46,"Aprobada")&gt;0),OR(M43="",COUNTIF($F$2:$F$46,M43)=0,COUNTIFS($F$2:$F$46,M43,$Q$2:$Q$46,"Aprobada")&gt;0),OR(N43="",COUNTIF($F$2:$F$46,N43)=0,COUNTIFS($F$2:$F$46,N43,$Q$2:$Q$46,"Aprobada")&gt;0),OR(O43="",COUNTIF($F$2:$F$46,O43)=0,COUNTIFS($F$2:$F$46,O43,$Q$2:$Q$46,"Aprobada")&gt;0),OR(P43="",COUNTIF($F$2:$F$46,P43)=0,COUNTIFS($F$2:$F$46,P43,$Q$2:$Q$46,"Aprobada")&gt;0)),"Sí","No"),"")</f>
        <v/>
      </c>
      <c r="U43" s="9" t="str">
        <f aca="false">IF(Q43="Aprobada",TRIM(IF(NOT(OR(L43="",COUNTIF($F$2:$F$46,L43)=0,COUNTIFS($F$2:$F$46,L43,$Q$2:$Q$46,"Aprobada")&gt;0)),L43&amp;" ","")&amp;IF(NOT(OR(M43="",COUNTIF($F$2:$F$46,M43)=0,COUNTIFS($F$2:$F$46,M43,$Q$2:$Q$46,"Aprobada")&gt;0)),M43&amp;" ","")&amp;IF(NOT(OR(N43="",COUNTIF($F$2:$F$46,N43)=0,COUNTIFS($F$2:$F$46,N43,$Q$2:$Q$46,"Aprobada")&gt;0)),N43&amp;" ","")&amp;IF(NOT(OR(O43="",COUNTIF($F$2:$F$46,O43)=0,COUNTIFS($F$2:$F$46,O43,$Q$2:$Q$46,"Aprobada")&gt;0)),O43&amp;" ","")&amp;IF(NOT(OR(P43="",COUNTIF($F$2:$F$46,P43)=0,COUNTIFS($F$2:$F$46,P43,$Q$2:$Q$46,"Aprobada")&gt;0)),P43&amp;" ","")),IF(Q43="Cursada aprobada",TRIM(IF(NOT(OR(L43="",COUNTIF($F$2:$F$46,L43)=0,COUNTIFS($F$2:$F$46,L43,$Q$2:$Q$46,"Aprobada")&gt;0,AND(Resumen!$B$15="La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","")),""))</f>
        <v/>
      </c>
    </row>
    <row r="44" customFormat="false" ht="15" hidden="false" customHeight="false" outlineLevel="0" collapsed="false">
      <c r="A44" s="8" t="s">
        <v>116</v>
      </c>
      <c r="B44" s="8"/>
      <c r="C44" s="9"/>
      <c r="D44" s="9"/>
      <c r="E44" s="9" t="s">
        <v>122</v>
      </c>
      <c r="F44" s="9" t="n">
        <v>365</v>
      </c>
      <c r="G44" s="8" t="s">
        <v>123</v>
      </c>
      <c r="H44" s="9"/>
      <c r="I44" s="9"/>
      <c r="J44" s="9"/>
      <c r="K44" s="9"/>
      <c r="L44" s="9"/>
      <c r="M44" s="9"/>
      <c r="N44" s="9"/>
      <c r="O44" s="9"/>
      <c r="P44" s="9"/>
      <c r="Q44" s="10" t="s">
        <v>62</v>
      </c>
      <c r="R44" s="9" t="str">
        <f aca="false">IF(Q44="Aprobada","Ya aprobada",IF(Q44="Cursada aprobada","Ya cursada",IF(AND(OR(L44="",COUNTIF($F$2:$F$46,L44)=0,COUNTIFS($F$2:$F$46,L44,$Q$2:$Q$46,"Aprobada")&gt;0,AND(Resumen!$B$15="La cursada aprobada",COUNTIFS($F$2:$F$46,L44,$Q$2:$Q$46,"Cursada aprobada")&gt;0)),OR(M44="",COUNTIF($F$2:$F$46,M44)=0,COUNTIFS($F$2:$F$46,M44,$Q$2:$Q$46,"Aprobada")&gt;0,AND(Resumen!$B$15="La cursada aprobada",COUNTIFS($F$2:$F$46,M44,$Q$2:$Q$46,"Cursada aprobada")&gt;0)),OR(N44="",COUNTIF($F$2:$F$46,N44)=0,COUNTIFS($F$2:$F$46,N44,$Q$2:$Q$46,"Aprobada")&gt;0,AND(Resumen!$B$15="La cursada aprobada",COUNTIFS($F$2:$F$46,N44,$Q$2:$Q$46,"Cursada aprobada")&gt;0)),OR(O44="",COUNTIF($F$2:$F$46,O44)=0,COUNTIFS($F$2:$F$46,O44,$Q$2:$Q$46,"Aprobada")&gt;0,AND(Resumen!$B$15="La cursada aprobada",COUNTIFS($F$2:$F$46,O44,$Q$2:$Q$46,"Cursada aprobada")&gt;0)),OR(P44="",COUNTIF($F$2:$F$46,P44)=0,COUNTIFS($F$2:$F$46,P44,$Q$2:$Q$46,"Aprobada")&gt;0,AND(Resumen!$B$15="La cursada aprobada",COUNTIFS($F$2:$F$46,P44,$Q$2:$Q$46,"Cursada aprobada")&gt;0))),"Sí","No")))</f>
        <v>Sí</v>
      </c>
      <c r="S44" s="8" t="str">
        <f aca="false">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</f>
        <v/>
      </c>
      <c r="T44" s="9" t="str">
        <f aca="false">IF(Q44="Cursada aprobada",IF(AND(OR(L44="",COUNTIF($F$2:$F$46,L44)=0,COUNTIFS($F$2:$F$46,L44,$Q$2:$Q$46,"Aprobada")&gt;0),OR(M44="",COUNTIF($F$2:$F$46,M44)=0,COUNTIFS($F$2:$F$46,M44,$Q$2:$Q$46,"Aprobada")&gt;0),OR(N44="",COUNTIF($F$2:$F$46,N44)=0,COUNTIFS($F$2:$F$46,N44,$Q$2:$Q$46,"Aprobada")&gt;0),OR(O44="",COUNTIF($F$2:$F$46,O44)=0,COUNTIFS($F$2:$F$46,O44,$Q$2:$Q$46,"Aprobada")&gt;0),OR(P44="",COUNTIF($F$2:$F$46,P44)=0,COUNTIFS($F$2:$F$46,P44,$Q$2:$Q$46,"Aprobada")&gt;0)),"Sí","No"),"")</f>
        <v/>
      </c>
      <c r="U44" s="9" t="str">
        <f aca="false">IF(Q44="Aprobada",TRIM(IF(NOT(OR(L44="",COUNTIF($F$2:$F$46,L44)=0,COUNTIFS($F$2:$F$46,L44,$Q$2:$Q$46,"Aprobada")&gt;0)),L44&amp;" ","")&amp;IF(NOT(OR(M44="",COUNTIF($F$2:$F$46,M44)=0,COUNTIFS($F$2:$F$46,M44,$Q$2:$Q$46,"Aprobada")&gt;0)),M44&amp;" ","")&amp;IF(NOT(OR(N44="",COUNTIF($F$2:$F$46,N44)=0,COUNTIFS($F$2:$F$46,N44,$Q$2:$Q$46,"Aprobada")&gt;0)),N44&amp;" ","")&amp;IF(NOT(OR(O44="",COUNTIF($F$2:$F$46,O44)=0,COUNTIFS($F$2:$F$46,O44,$Q$2:$Q$46,"Aprobada")&gt;0)),O44&amp;" ","")&amp;IF(NOT(OR(P44="",COUNTIF($F$2:$F$46,P44)=0,COUNTIFS($F$2:$F$46,P44,$Q$2:$Q$46,"Aprobada")&gt;0)),P44&amp;" ","")),IF(Q44="Cursada aprobada",TRIM(IF(NOT(OR(L44="",COUNTIF($F$2:$F$46,L44)=0,COUNTIFS($F$2:$F$46,L44,$Q$2:$Q$46,"Aprobada")&gt;0,AND(Resumen!$B$15="La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","")),""))</f>
        <v/>
      </c>
    </row>
    <row r="45" customFormat="false" ht="15" hidden="false" customHeight="false" outlineLevel="0" collapsed="false">
      <c r="A45" s="8" t="s">
        <v>116</v>
      </c>
      <c r="B45" s="8"/>
      <c r="C45" s="9"/>
      <c r="D45" s="9"/>
      <c r="E45" s="9" t="s">
        <v>99</v>
      </c>
      <c r="F45" s="9" t="n">
        <v>290</v>
      </c>
      <c r="G45" s="8" t="s">
        <v>148</v>
      </c>
      <c r="H45" s="9"/>
      <c r="I45" s="9"/>
      <c r="J45" s="9"/>
      <c r="K45" s="9"/>
      <c r="L45" s="9"/>
      <c r="M45" s="9"/>
      <c r="N45" s="9"/>
      <c r="O45" s="9"/>
      <c r="P45" s="9"/>
      <c r="Q45" s="10" t="s">
        <v>62</v>
      </c>
      <c r="R45" s="9" t="str">
        <f aca="false">IF(Q45="Aprobada","Ya aprobada",IF(Q45="Cursada aprobada","Ya cursada",IF(AND(OR(L45="",COUNTIF($F$2:$F$46,L45)=0,COUNTIFS($F$2:$F$46,L45,$Q$2:$Q$46,"Aprobada")&gt;0,AND(Resumen!$B$15="La cursada aprobada",COUNTIFS($F$2:$F$46,L45,$Q$2:$Q$46,"Cursada aprobada")&gt;0)),OR(M45="",COUNTIF($F$2:$F$46,M45)=0,COUNTIFS($F$2:$F$46,M45,$Q$2:$Q$46,"Aprobada")&gt;0,AND(Resumen!$B$15="La cursada aprobada",COUNTIFS($F$2:$F$46,M45,$Q$2:$Q$46,"Cursada aprobada")&gt;0)),OR(N45="",COUNTIF($F$2:$F$46,N45)=0,COUNTIFS($F$2:$F$46,N45,$Q$2:$Q$46,"Aprobada")&gt;0,AND(Resumen!$B$15="La cursada aprobada",COUNTIFS($F$2:$F$46,N45,$Q$2:$Q$46,"Cursada aprobada")&gt;0)),OR(O45="",COUNTIF($F$2:$F$46,O45)=0,COUNTIFS($F$2:$F$46,O45,$Q$2:$Q$46,"Aprobada")&gt;0,AND(Resumen!$B$15="La cursada aprobada",COUNTIFS($F$2:$F$46,O45,$Q$2:$Q$46,"Cursada aprobada")&gt;0)),OR(P45="",COUNTIF($F$2:$F$46,P45)=0,COUNTIFS($F$2:$F$46,P45,$Q$2:$Q$46,"Aprobada")&gt;0,AND(Resumen!$B$15="La cursada aprobada",COUNTIFS($F$2:$F$46,P45,$Q$2:$Q$46,"Cursada aprobada")&gt;0))),"Sí","No")))</f>
        <v>Sí</v>
      </c>
      <c r="S45" s="8" t="str">
        <f aca="false">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</f>
        <v/>
      </c>
      <c r="T45" s="9" t="str">
        <f aca="false">IF(Q45="Cursada aprobada",IF(AND(OR(L45="",COUNTIF($F$2:$F$46,L45)=0,COUNTIFS($F$2:$F$46,L45,$Q$2:$Q$46,"Aprobada")&gt;0),OR(M45="",COUNTIF($F$2:$F$46,M45)=0,COUNTIFS($F$2:$F$46,M45,$Q$2:$Q$46,"Aprobada")&gt;0),OR(N45="",COUNTIF($F$2:$F$46,N45)=0,COUNTIFS($F$2:$F$46,N45,$Q$2:$Q$46,"Aprobada")&gt;0),OR(O45="",COUNTIF($F$2:$F$46,O45)=0,COUNTIFS($F$2:$F$46,O45,$Q$2:$Q$46,"Aprobada")&gt;0),OR(P45="",COUNTIF($F$2:$F$46,P45)=0,COUNTIFS($F$2:$F$46,P45,$Q$2:$Q$46,"Aprobada")&gt;0)),"Sí","No"),"")</f>
        <v/>
      </c>
      <c r="U45" s="9" t="str">
        <f aca="false">IF(Q45="Aprobada",TRIM(IF(NOT(OR(L45="",COUNTIF($F$2:$F$46,L45)=0,COUNTIFS($F$2:$F$46,L45,$Q$2:$Q$46,"Aprobada")&gt;0)),L45&amp;" ","")&amp;IF(NOT(OR(M45="",COUNTIF($F$2:$F$46,M45)=0,COUNTIFS($F$2:$F$46,M45,$Q$2:$Q$46,"Aprobada")&gt;0)),M45&amp;" ","")&amp;IF(NOT(OR(N45="",COUNTIF($F$2:$F$46,N45)=0,COUNTIFS($F$2:$F$46,N45,$Q$2:$Q$46,"Aprobada")&gt;0)),N45&amp;" ","")&amp;IF(NOT(OR(O45="",COUNTIF($F$2:$F$46,O45)=0,COUNTIFS($F$2:$F$46,O45,$Q$2:$Q$46,"Aprobada")&gt;0)),O45&amp;" ","")&amp;IF(NOT(OR(P45="",COUNTIF($F$2:$F$46,P45)=0,COUNTIFS($F$2:$F$46,P45,$Q$2:$Q$46,"Aprobada")&gt;0)),P45&amp;" ","")),IF(Q45="Cursada aprobada",TRIM(IF(NOT(OR(L45="",COUNTIF($F$2:$F$46,L45)=0,COUNTIFS($F$2:$F$46,L45,$Q$2:$Q$46,"Aprobada")&gt;0,AND(Resumen!$B$15="La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","")),""))</f>
        <v/>
      </c>
    </row>
    <row r="46" customFormat="false" ht="15" hidden="false" customHeight="false" outlineLevel="0" collapsed="false">
      <c r="A46" s="8" t="s">
        <v>116</v>
      </c>
      <c r="B46" s="8"/>
      <c r="C46" s="9"/>
      <c r="D46" s="9"/>
      <c r="E46" s="9" t="s">
        <v>59</v>
      </c>
      <c r="F46" s="9" t="n">
        <v>607</v>
      </c>
      <c r="G46" s="8" t="s">
        <v>173</v>
      </c>
      <c r="H46" s="9"/>
      <c r="I46" s="9"/>
      <c r="J46" s="9"/>
      <c r="K46" s="9"/>
      <c r="L46" s="9"/>
      <c r="M46" s="9"/>
      <c r="N46" s="9"/>
      <c r="O46" s="9"/>
      <c r="P46" s="9"/>
      <c r="Q46" s="10" t="s">
        <v>62</v>
      </c>
      <c r="R46" s="9" t="str">
        <f aca="false">IF(Q46="Aprobada","Ya aprobada",IF(Q46="Cursada aprobada","Ya cursada",IF(AND(OR(L46="",COUNTIF($F$2:$F$46,L46)=0,COUNTIFS($F$2:$F$46,L46,$Q$2:$Q$46,"Aprobada")&gt;0,AND(Resumen!$B$15="La cursada aprobada",COUNTIFS($F$2:$F$46,L46,$Q$2:$Q$46,"Cursada aprobada")&gt;0)),OR(M46="",COUNTIF($F$2:$F$46,M46)=0,COUNTIFS($F$2:$F$46,M46,$Q$2:$Q$46,"Aprobada")&gt;0,AND(Resumen!$B$15="La cursada aprobada",COUNTIFS($F$2:$F$46,M46,$Q$2:$Q$46,"Cursada aprobada")&gt;0)),OR(N46="",COUNTIF($F$2:$F$46,N46)=0,COUNTIFS($F$2:$F$46,N46,$Q$2:$Q$46,"Aprobada")&gt;0,AND(Resumen!$B$15="La cursada aprobada",COUNTIFS($F$2:$F$46,N46,$Q$2:$Q$46,"Cursada aprobada")&gt;0)),OR(O46="",COUNTIF($F$2:$F$46,O46)=0,COUNTIFS($F$2:$F$46,O46,$Q$2:$Q$46,"Aprobada")&gt;0,AND(Resumen!$B$15="La cursada aprobada",COUNTIFS($F$2:$F$46,O46,$Q$2:$Q$46,"Cursada aprobada")&gt;0)),OR(P46="",COUNTIF($F$2:$F$46,P46)=0,COUNTIFS($F$2:$F$46,P46,$Q$2:$Q$46,"Aprobada")&gt;0,AND(Resumen!$B$15="La cursada aprobada",COUNTIFS($F$2:$F$46,P46,$Q$2:$Q$46,"Cursada aprobada")&gt;0))),"Sí","No")))</f>
        <v>Sí</v>
      </c>
      <c r="S46" s="8" t="str">
        <f aca="false">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</f>
        <v/>
      </c>
      <c r="T46" s="9" t="str">
        <f aca="false">IF(Q46="Cursada aprobada",IF(AND(OR(L46="",COUNTIF($F$2:$F$46,L46)=0,COUNTIFS($F$2:$F$46,L46,$Q$2:$Q$46,"Aprobada")&gt;0),OR(M46="",COUNTIF($F$2:$F$46,M46)=0,COUNTIFS($F$2:$F$46,M46,$Q$2:$Q$46,"Aprobada")&gt;0),OR(N46="",COUNTIF($F$2:$F$46,N46)=0,COUNTIFS($F$2:$F$46,N46,$Q$2:$Q$46,"Aprobada")&gt;0),OR(O46="",COUNTIF($F$2:$F$46,O46)=0,COUNTIFS($F$2:$F$46,O46,$Q$2:$Q$46,"Aprobada")&gt;0),OR(P46="",COUNTIF($F$2:$F$46,P46)=0,COUNTIFS($F$2:$F$46,P46,$Q$2:$Q$46,"Aprobada")&gt;0)),"Sí","No"),"")</f>
        <v/>
      </c>
      <c r="U46" s="9" t="str">
        <f aca="false">IF(Q46="Aprobada",TRIM(IF(NOT(OR(L46="",COUNTIF($F$2:$F$46,L46)=0,COUNTIFS($F$2:$F$46,L46,$Q$2:$Q$46,"Aprobada")&gt;0)),L46&amp;" ","")&amp;IF(NOT(OR(M46="",COUNTIF($F$2:$F$46,M46)=0,COUNTIFS($F$2:$F$46,M46,$Q$2:$Q$46,"Aprobada")&gt;0)),M46&amp;" ","")&amp;IF(NOT(OR(N46="",COUNTIF($F$2:$F$46,N46)=0,COUNTIFS($F$2:$F$46,N46,$Q$2:$Q$46,"Aprobada")&gt;0)),N46&amp;" ","")&amp;IF(NOT(OR(O46="",COUNTIF($F$2:$F$46,O46)=0,COUNTIFS($F$2:$F$46,O46,$Q$2:$Q$46,"Aprobada")&gt;0)),O46&amp;" ","")&amp;IF(NOT(OR(P46="",COUNTIF($F$2:$F$46,P46)=0,COUNTIFS($F$2:$F$46,P46,$Q$2:$Q$46,"Aprobada")&gt;0)),P46&amp;" ","")),IF(Q46="Cursada aprobada",TRIM(IF(NOT(OR(L46="",COUNTIF($F$2:$F$46,L46)=0,COUNTIFS($F$2:$F$46,L46,$Q$2:$Q$46,"Aprobada")&gt;0,AND(Resumen!$B$15="La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","")),""))</f>
        <v/>
      </c>
    </row>
  </sheetData>
  <autoFilter ref="A1:U46"/>
  <conditionalFormatting sqref="Q2:Q4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46">
    <cfRule type="expression" priority="4" aboveAverage="0" equalAverage="0" bottom="0" percent="0" rank="0" text="" dxfId="10">
      <formula>LEN($U2)&gt;0</formula>
    </cfRule>
  </conditionalFormatting>
  <conditionalFormatting sqref="T2:T4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4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4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58</v>
      </c>
      <c r="B2" s="8"/>
      <c r="C2" s="9" t="n">
        <v>1</v>
      </c>
      <c r="D2" s="9" t="n">
        <v>1</v>
      </c>
      <c r="E2" s="9" t="s">
        <v>59</v>
      </c>
      <c r="F2" s="9" t="n">
        <v>101</v>
      </c>
      <c r="G2" s="8" t="s">
        <v>60</v>
      </c>
      <c r="H2" s="9" t="s">
        <v>61</v>
      </c>
      <c r="I2" s="9" t="n">
        <v>6</v>
      </c>
      <c r="J2" s="9"/>
      <c r="K2" s="9" t="n">
        <v>96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cursada",IF(AND(OR(L2="",COUNTIF($F$2:$F$46,L2)=0,COUNTIFS($F$2:$F$46,L2,$Q$2:$Q$46,"Aprobada")&gt;0,AND(Resumen!$B$15="La cursada aprobada",COUNTIFS($F$2:$F$46,L2,$Q$2:$Q$46,"Cursada aprobada")&gt;0)),OR(M2="",COUNTIF($F$2:$F$46,M2)=0,COUNTIFS($F$2:$F$46,M2,$Q$2:$Q$46,"Aprobada")&gt;0,AND(Resumen!$B$15="La cursada aprobada",COUNTIFS($F$2:$F$46,M2,$Q$2:$Q$46,"Cursada aprobada")&gt;0)),OR(N2="",COUNTIF($F$2:$F$46,N2)=0,COUNTIFS($F$2:$F$46,N2,$Q$2:$Q$46,"Aprobada")&gt;0,AND(Resumen!$B$15="La cursada aprobada",COUNTIFS($F$2:$F$46,N2,$Q$2:$Q$46,"Cursada aprobada")&gt;0)),OR(O2="",COUNTIF($F$2:$F$46,O2)=0,COUNTIFS($F$2:$F$46,O2,$Q$2:$Q$46,"Aprobada")&gt;0,AND(Resumen!$B$15="La cursada aprobada",COUNTIFS($F$2:$F$46,O2,$Q$2:$Q$46,"Cursada aprobada")&gt;0)),OR(P2="",COUNTIF($F$2:$F$46,P2)=0,COUNTIFS($F$2:$F$46,P2,$Q$2:$Q$46,"Aprobada")&gt;0,AND(Resumen!$B$15="La cursada aprobada",COUNTIFS($F$2:$F$46,P2,$Q$2:$Q$46,"Cursada aprobada")&gt;0))),"Sí","No")))</f>
        <v>Sí</v>
      </c>
      <c r="S2" s="8" t="str">
        <f aca="false">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</f>
        <v/>
      </c>
      <c r="T2" s="9" t="str">
        <f aca="false">IF(Q2="Cursada aprobada",IF(AND(OR(L2="",COUNTIF($F$2:$F$46,L2)=0,COUNTIFS($F$2:$F$46,L2,$Q$2:$Q$46,"Aprobada")&gt;0),OR(M2="",COUNTIF($F$2:$F$46,M2)=0,COUNTIFS($F$2:$F$46,M2,$Q$2:$Q$46,"Aprobada")&gt;0),OR(N2="",COUNTIF($F$2:$F$46,N2)=0,COUNTIFS($F$2:$F$46,N2,$Q$2:$Q$46,"Aprobada")&gt;0),OR(O2="",COUNTIF($F$2:$F$46,O2)=0,COUNTIFS($F$2:$F$46,O2,$Q$2:$Q$46,"Aprobada")&gt;0),OR(P2="",COUNTIF($F$2:$F$46,P2)=0,COUNTIFS($F$2:$F$46,P2,$Q$2:$Q$46,"Aprobada")&gt;0)),"Sí","No"),"")</f>
        <v/>
      </c>
      <c r="U2" s="9" t="str">
        <f aca="false">IF(Q2="Aprobada",TRIM(IF(NOT(OR(L2="",COUNTIF($F$2:$F$46,L2)=0,COUNTIFS($F$2:$F$46,L2,$Q$2:$Q$46,"Aprobada")&gt;0)),L2&amp;" ","")&amp;IF(NOT(OR(M2="",COUNTIF($F$2:$F$46,M2)=0,COUNTIFS($F$2:$F$46,M2,$Q$2:$Q$46,"Aprobada")&gt;0)),M2&amp;" ","")&amp;IF(NOT(OR(N2="",COUNTIF($F$2:$F$46,N2)=0,COUNTIFS($F$2:$F$46,N2,$Q$2:$Q$46,"Aprobada")&gt;0)),N2&amp;" ","")&amp;IF(NOT(OR(O2="",COUNTIF($F$2:$F$46,O2)=0,COUNTIFS($F$2:$F$46,O2,$Q$2:$Q$46,"Aprobada")&gt;0)),O2&amp;" ","")&amp;IF(NOT(OR(P2="",COUNTIF($F$2:$F$46,P2)=0,COUNTIFS($F$2:$F$46,P2,$Q$2:$Q$46,"Aprobada")&gt;0)),P2&amp;" ","")),IF(Q2="Cursada aprobada",TRIM(IF(NOT(OR(L2="",COUNTIF($F$2:$F$46,L2)=0,COUNTIFS($F$2:$F$46,L2,$Q$2:$Q$46,"Aprobada")&gt;0,AND(Resumen!$B$15="La cursada aprobada",COUNTIFS($F$2:$F$46,L2,$Q$2:$Q$46,"Cursada aprobada")&gt;0))),L2&amp;" ","")&amp;IF(NOT(OR(M2="",COUNTIF($F$2:$F$46,M2)=0,COUNTIFS($F$2:$F$46,M2,$Q$2:$Q$46,"Aprobada")&gt;0,AND(Resumen!$B$15="La cursada aprobada",COUNTIFS($F$2:$F$46,M2,$Q$2:$Q$46,"Cursada aprobada")&gt;0))),M2&amp;" ","")&amp;IF(NOT(OR(N2="",COUNTIF($F$2:$F$46,N2)=0,COUNTIFS($F$2:$F$46,N2,$Q$2:$Q$46,"Aprobada")&gt;0,AND(Resumen!$B$15="La cursada aprobada",COUNTIFS($F$2:$F$46,N2,$Q$2:$Q$46,"Cursada aprobada")&gt;0))),N2&amp;" ","")&amp;IF(NOT(OR(O2="",COUNTIF($F$2:$F$46,O2)=0,COUNTIFS($F$2:$F$46,O2,$Q$2:$Q$46,"Aprobada")&gt;0,AND(Resumen!$B$15="La cursada aprobada",COUNTIFS($F$2:$F$46,O2,$Q$2:$Q$46,"Cursada aprobada")&gt;0))),O2&amp;" ","")&amp;IF(NOT(OR(P2="",COUNTIF($F$2:$F$46,P2)=0,COUNTIFS($F$2:$F$46,P2,$Q$2:$Q$46,"Aprobada")&gt;0,AND(Resumen!$B$15="La cursada aprobada",COUNTIFS($F$2:$F$46,P2,$Q$2:$Q$46,"Cursada aprobada")&gt;0))),P2&amp;" ","")),""))</f>
        <v/>
      </c>
    </row>
    <row r="3" customFormat="false" ht="15" hidden="false" customHeight="false" outlineLevel="0" collapsed="false">
      <c r="A3" s="8" t="s">
        <v>58</v>
      </c>
      <c r="B3" s="8"/>
      <c r="C3" s="9" t="n">
        <v>1</v>
      </c>
      <c r="D3" s="9" t="n">
        <v>1</v>
      </c>
      <c r="E3" s="9" t="s">
        <v>174</v>
      </c>
      <c r="F3" s="9" t="n">
        <v>161</v>
      </c>
      <c r="G3" s="8" t="s">
        <v>175</v>
      </c>
      <c r="H3" s="9" t="s">
        <v>61</v>
      </c>
      <c r="I3" s="9" t="n">
        <v>4</v>
      </c>
      <c r="J3" s="9"/>
      <c r="K3" s="9" t="n">
        <v>64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cursada",IF(AND(OR(L3="",COUNTIF($F$2:$F$46,L3)=0,COUNTIFS($F$2:$F$46,L3,$Q$2:$Q$46,"Aprobada")&gt;0,AND(Resumen!$B$15="La cursada aprobada",COUNTIFS($F$2:$F$46,L3,$Q$2:$Q$46,"Cursada aprobada")&gt;0)),OR(M3="",COUNTIF($F$2:$F$46,M3)=0,COUNTIFS($F$2:$F$46,M3,$Q$2:$Q$46,"Aprobada")&gt;0,AND(Resumen!$B$15="La cursada aprobada",COUNTIFS($F$2:$F$46,M3,$Q$2:$Q$46,"Cursada aprobada")&gt;0)),OR(N3="",COUNTIF($F$2:$F$46,N3)=0,COUNTIFS($F$2:$F$46,N3,$Q$2:$Q$46,"Aprobada")&gt;0,AND(Resumen!$B$15="La cursada aprobada",COUNTIFS($F$2:$F$46,N3,$Q$2:$Q$46,"Cursada aprobada")&gt;0)),OR(O3="",COUNTIF($F$2:$F$46,O3)=0,COUNTIFS($F$2:$F$46,O3,$Q$2:$Q$46,"Aprobada")&gt;0,AND(Resumen!$B$15="La cursada aprobada",COUNTIFS($F$2:$F$46,O3,$Q$2:$Q$46,"Cursada aprobada")&gt;0)),OR(P3="",COUNTIF($F$2:$F$46,P3)=0,COUNTIFS($F$2:$F$46,P3,$Q$2:$Q$46,"Aprobada")&gt;0,AND(Resumen!$B$15="La cursada aprobada",COUNTIFS($F$2:$F$46,P3,$Q$2:$Q$46,"Cursada aprobada")&gt;0))),"Sí","No")))</f>
        <v>Sí</v>
      </c>
      <c r="S3" s="8" t="str">
        <f aca="false">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</f>
        <v/>
      </c>
      <c r="T3" s="9" t="str">
        <f aca="false">IF(Q3="Cursada aprobada",IF(AND(OR(L3="",COUNTIF($F$2:$F$46,L3)=0,COUNTIFS($F$2:$F$46,L3,$Q$2:$Q$46,"Aprobada")&gt;0),OR(M3="",COUNTIF($F$2:$F$46,M3)=0,COUNTIFS($F$2:$F$46,M3,$Q$2:$Q$46,"Aprobada")&gt;0),OR(N3="",COUNTIF($F$2:$F$46,N3)=0,COUNTIFS($F$2:$F$46,N3,$Q$2:$Q$46,"Aprobada")&gt;0),OR(O3="",COUNTIF($F$2:$F$46,O3)=0,COUNTIFS($F$2:$F$46,O3,$Q$2:$Q$46,"Aprobada")&gt;0),OR(P3="",COUNTIF($F$2:$F$46,P3)=0,COUNTIFS($F$2:$F$46,P3,$Q$2:$Q$46,"Aprobada")&gt;0)),"Sí","No"),"")</f>
        <v/>
      </c>
      <c r="U3" s="9" t="str">
        <f aca="false">IF(Q3="Aprobada",TRIM(IF(NOT(OR(L3="",COUNTIF($F$2:$F$46,L3)=0,COUNTIFS($F$2:$F$46,L3,$Q$2:$Q$46,"Aprobada")&gt;0)),L3&amp;" ","")&amp;IF(NOT(OR(M3="",COUNTIF($F$2:$F$46,M3)=0,COUNTIFS($F$2:$F$46,M3,$Q$2:$Q$46,"Aprobada")&gt;0)),M3&amp;" ","")&amp;IF(NOT(OR(N3="",COUNTIF($F$2:$F$46,N3)=0,COUNTIFS($F$2:$F$46,N3,$Q$2:$Q$46,"Aprobada")&gt;0)),N3&amp;" ","")&amp;IF(NOT(OR(O3="",COUNTIF($F$2:$F$46,O3)=0,COUNTIFS($F$2:$F$46,O3,$Q$2:$Q$46,"Aprobada")&gt;0)),O3&amp;" ","")&amp;IF(NOT(OR(P3="",COUNTIF($F$2:$F$46,P3)=0,COUNTIFS($F$2:$F$46,P3,$Q$2:$Q$46,"Aprobada")&gt;0)),P3&amp;" ","")),IF(Q3="Cursada aprobada",TRIM(IF(NOT(OR(L3="",COUNTIF($F$2:$F$46,L3)=0,COUNTIFS($F$2:$F$46,L3,$Q$2:$Q$46,"Aprobada")&gt;0,AND(Resumen!$B$15="La cursada aprobada",COUNTIFS($F$2:$F$46,L3,$Q$2:$Q$46,"Cursada aprobada")&gt;0))),L3&amp;" ","")&amp;IF(NOT(OR(M3="",COUNTIF($F$2:$F$46,M3)=0,COUNTIFS($F$2:$F$46,M3,$Q$2:$Q$46,"Aprobada")&gt;0,AND(Resumen!$B$15="La cursada aprobada",COUNTIFS($F$2:$F$46,M3,$Q$2:$Q$46,"Cursada aprobada")&gt;0))),M3&amp;" ","")&amp;IF(NOT(OR(N3="",COUNTIF($F$2:$F$46,N3)=0,COUNTIFS($F$2:$F$46,N3,$Q$2:$Q$46,"Aprobada")&gt;0,AND(Resumen!$B$15="La cursada aprobada",COUNTIFS($F$2:$F$46,N3,$Q$2:$Q$46,"Cursada aprobada")&gt;0))),N3&amp;" ","")&amp;IF(NOT(OR(O3="",COUNTIF($F$2:$F$46,O3)=0,COUNTIFS($F$2:$F$46,O3,$Q$2:$Q$46,"Aprobada")&gt;0,AND(Resumen!$B$15="La cursada aprobada",COUNTIFS($F$2:$F$46,O3,$Q$2:$Q$46,"Cursada aprobada")&gt;0))),O3&amp;" ","")&amp;IF(NOT(OR(P3="",COUNTIF($F$2:$F$46,P3)=0,COUNTIFS($F$2:$F$46,P3,$Q$2:$Q$46,"Aprobada")&gt;0,AND(Resumen!$B$15="La cursada aprobada",COUNTIFS($F$2:$F$46,P3,$Q$2:$Q$46,"Cursada aprobada")&gt;0))),P3&amp;" ","")),""))</f>
        <v/>
      </c>
    </row>
    <row r="4" customFormat="false" ht="15" hidden="false" customHeight="false" outlineLevel="0" collapsed="false">
      <c r="A4" s="8" t="s">
        <v>58</v>
      </c>
      <c r="B4" s="8"/>
      <c r="C4" s="9" t="n">
        <v>1</v>
      </c>
      <c r="D4" s="9" t="n">
        <v>1</v>
      </c>
      <c r="E4" s="9" t="s">
        <v>65</v>
      </c>
      <c r="F4" s="9" t="n">
        <v>114</v>
      </c>
      <c r="G4" s="8" t="s">
        <v>176</v>
      </c>
      <c r="H4" s="9" t="s">
        <v>61</v>
      </c>
      <c r="I4" s="9" t="n">
        <v>6</v>
      </c>
      <c r="J4" s="9"/>
      <c r="K4" s="9" t="n">
        <v>96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cursada",IF(AND(OR(L4="",COUNTIF($F$2:$F$46,L4)=0,COUNTIFS($F$2:$F$46,L4,$Q$2:$Q$46,"Aprobada")&gt;0,AND(Resumen!$B$15="La cursada aprobada",COUNTIFS($F$2:$F$46,L4,$Q$2:$Q$46,"Cursada aprobada")&gt;0)),OR(M4="",COUNTIF($F$2:$F$46,M4)=0,COUNTIFS($F$2:$F$46,M4,$Q$2:$Q$46,"Aprobada")&gt;0,AND(Resumen!$B$15="La cursada aprobada",COUNTIFS($F$2:$F$46,M4,$Q$2:$Q$46,"Cursada aprobada")&gt;0)),OR(N4="",COUNTIF($F$2:$F$46,N4)=0,COUNTIFS($F$2:$F$46,N4,$Q$2:$Q$46,"Aprobada")&gt;0,AND(Resumen!$B$15="La cursada aprobada",COUNTIFS($F$2:$F$46,N4,$Q$2:$Q$46,"Cursada aprobada")&gt;0)),OR(O4="",COUNTIF($F$2:$F$46,O4)=0,COUNTIFS($F$2:$F$46,O4,$Q$2:$Q$46,"Aprobada")&gt;0,AND(Resumen!$B$15="La cursada aprobada",COUNTIFS($F$2:$F$46,O4,$Q$2:$Q$46,"Cursada aprobada")&gt;0)),OR(P4="",COUNTIF($F$2:$F$46,P4)=0,COUNTIFS($F$2:$F$46,P4,$Q$2:$Q$46,"Aprobada")&gt;0,AND(Resumen!$B$15="La cursada aprobada",COUNTIFS($F$2:$F$46,P4,$Q$2:$Q$46,"Cursada aprobada")&gt;0))),"Sí","No")))</f>
        <v>Sí</v>
      </c>
      <c r="S4" s="8" t="str">
        <f aca="false">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</f>
        <v/>
      </c>
      <c r="T4" s="9" t="str">
        <f aca="false">IF(Q4="Cursada aprobada",IF(AND(OR(L4="",COUNTIF($F$2:$F$46,L4)=0,COUNTIFS($F$2:$F$46,L4,$Q$2:$Q$46,"Aprobada")&gt;0),OR(M4="",COUNTIF($F$2:$F$46,M4)=0,COUNTIFS($F$2:$F$46,M4,$Q$2:$Q$46,"Aprobada")&gt;0),OR(N4="",COUNTIF($F$2:$F$46,N4)=0,COUNTIFS($F$2:$F$46,N4,$Q$2:$Q$46,"Aprobada")&gt;0),OR(O4="",COUNTIF($F$2:$F$46,O4)=0,COUNTIFS($F$2:$F$46,O4,$Q$2:$Q$46,"Aprobada")&gt;0),OR(P4="",COUNTIF($F$2:$F$46,P4)=0,COUNTIFS($F$2:$F$46,P4,$Q$2:$Q$46,"Aprobada")&gt;0)),"Sí","No"),"")</f>
        <v/>
      </c>
      <c r="U4" s="9" t="str">
        <f aca="false">IF(Q4="Aprobada",TRIM(IF(NOT(OR(L4="",COUNTIF($F$2:$F$46,L4)=0,COUNTIFS($F$2:$F$46,L4,$Q$2:$Q$46,"Aprobada")&gt;0)),L4&amp;" ","")&amp;IF(NOT(OR(M4="",COUNTIF($F$2:$F$46,M4)=0,COUNTIFS($F$2:$F$46,M4,$Q$2:$Q$46,"Aprobada")&gt;0)),M4&amp;" ","")&amp;IF(NOT(OR(N4="",COUNTIF($F$2:$F$46,N4)=0,COUNTIFS($F$2:$F$46,N4,$Q$2:$Q$46,"Aprobada")&gt;0)),N4&amp;" ","")&amp;IF(NOT(OR(O4="",COUNTIF($F$2:$F$46,O4)=0,COUNTIFS($F$2:$F$46,O4,$Q$2:$Q$46,"Aprobada")&gt;0)),O4&amp;" ","")&amp;IF(NOT(OR(P4="",COUNTIF($F$2:$F$46,P4)=0,COUNTIFS($F$2:$F$46,P4,$Q$2:$Q$46,"Aprobada")&gt;0)),P4&amp;" ","")),IF(Q4="Cursada aprobada",TRIM(IF(NOT(OR(L4="",COUNTIF($F$2:$F$46,L4)=0,COUNTIFS($F$2:$F$46,L4,$Q$2:$Q$46,"Aprobada")&gt;0,AND(Resumen!$B$15="La cursada aprobada",COUNTIFS($F$2:$F$46,L4,$Q$2:$Q$46,"Cursada aprobada")&gt;0))),L4&amp;" ","")&amp;IF(NOT(OR(M4="",COUNTIF($F$2:$F$46,M4)=0,COUNTIFS($F$2:$F$46,M4,$Q$2:$Q$46,"Aprobada")&gt;0,AND(Resumen!$B$15="La cursada aprobada",COUNTIFS($F$2:$F$46,M4,$Q$2:$Q$46,"Cursada aprobada")&gt;0))),M4&amp;" ","")&amp;IF(NOT(OR(N4="",COUNTIF($F$2:$F$46,N4)=0,COUNTIFS($F$2:$F$46,N4,$Q$2:$Q$46,"Aprobada")&gt;0,AND(Resumen!$B$15="La cursada aprobada",COUNTIFS($F$2:$F$46,N4,$Q$2:$Q$46,"Cursada aprobada")&gt;0))),N4&amp;" ","")&amp;IF(NOT(OR(O4="",COUNTIF($F$2:$F$46,O4)=0,COUNTIFS($F$2:$F$46,O4,$Q$2:$Q$46,"Aprobada")&gt;0,AND(Resumen!$B$15="La cursada aprobada",COUNTIFS($F$2:$F$46,O4,$Q$2:$Q$46,"Cursada aprobada")&gt;0))),O4&amp;" ","")&amp;IF(NOT(OR(P4="",COUNTIF($F$2:$F$46,P4)=0,COUNTIFS($F$2:$F$46,P4,$Q$2:$Q$46,"Aprobada")&gt;0,AND(Resumen!$B$15="La cursada aprobada",COUNTIFS($F$2:$F$46,P4,$Q$2:$Q$46,"Cursada aprobada")&gt;0))),P4&amp;" ","")),""))</f>
        <v/>
      </c>
    </row>
    <row r="5" customFormat="false" ht="15" hidden="false" customHeight="false" outlineLevel="0" collapsed="false">
      <c r="A5" s="8" t="s">
        <v>58</v>
      </c>
      <c r="B5" s="8"/>
      <c r="C5" s="9" t="n">
        <v>1</v>
      </c>
      <c r="D5" s="9" t="n">
        <v>2</v>
      </c>
      <c r="E5" s="9" t="s">
        <v>69</v>
      </c>
      <c r="F5" s="9" t="n">
        <v>180</v>
      </c>
      <c r="G5" s="8" t="s">
        <v>70</v>
      </c>
      <c r="H5" s="9" t="s">
        <v>71</v>
      </c>
      <c r="I5" s="9" t="n">
        <v>4</v>
      </c>
      <c r="J5" s="9"/>
      <c r="K5" s="9" t="n">
        <v>64</v>
      </c>
      <c r="L5" s="9"/>
      <c r="M5" s="9"/>
      <c r="N5" s="9"/>
      <c r="O5" s="9"/>
      <c r="P5" s="9"/>
      <c r="Q5" s="10" t="s">
        <v>62</v>
      </c>
      <c r="R5" s="9" t="str">
        <f aca="false">IF(Q5="Aprobada","Ya aprobada",IF(Q5="Cursada aprobada","Ya cursada",IF(AND(OR(L5="",COUNTIF($F$2:$F$46,L5)=0,COUNTIFS($F$2:$F$46,L5,$Q$2:$Q$46,"Aprobada")&gt;0,AND(Resumen!$B$15="La cursada aprobada",COUNTIFS($F$2:$F$46,L5,$Q$2:$Q$46,"Cursada aprobada")&gt;0)),OR(M5="",COUNTIF($F$2:$F$46,M5)=0,COUNTIFS($F$2:$F$46,M5,$Q$2:$Q$46,"Aprobada")&gt;0,AND(Resumen!$B$15="La cursada aprobada",COUNTIFS($F$2:$F$46,M5,$Q$2:$Q$46,"Cursada aprobada")&gt;0)),OR(N5="",COUNTIF($F$2:$F$46,N5)=0,COUNTIFS($F$2:$F$46,N5,$Q$2:$Q$46,"Aprobada")&gt;0,AND(Resumen!$B$15="La cursada aprobada",COUNTIFS($F$2:$F$46,N5,$Q$2:$Q$46,"Cursada aprobada")&gt;0)),OR(O5="",COUNTIF($F$2:$F$46,O5)=0,COUNTIFS($F$2:$F$46,O5,$Q$2:$Q$46,"Aprobada")&gt;0,AND(Resumen!$B$15="La cursada aprobada",COUNTIFS($F$2:$F$46,O5,$Q$2:$Q$46,"Cursada aprobada")&gt;0)),OR(P5="",COUNTIF($F$2:$F$46,P5)=0,COUNTIFS($F$2:$F$46,P5,$Q$2:$Q$46,"Aprobada")&gt;0,AND(Resumen!$B$15="La cursada aprobada",COUNTIFS($F$2:$F$46,P5,$Q$2:$Q$46,"Cursada aprobada")&gt;0))),"Sí","No")))</f>
        <v>Sí</v>
      </c>
      <c r="S5" s="8" t="str">
        <f aca="false">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</f>
        <v/>
      </c>
      <c r="T5" s="9" t="str">
        <f aca="false">IF(Q5="Cursada aprobada",IF(AND(OR(L5="",COUNTIF($F$2:$F$46,L5)=0,COUNTIFS($F$2:$F$46,L5,$Q$2:$Q$46,"Aprobada")&gt;0),OR(M5="",COUNTIF($F$2:$F$46,M5)=0,COUNTIFS($F$2:$F$46,M5,$Q$2:$Q$46,"Aprobada")&gt;0),OR(N5="",COUNTIF($F$2:$F$46,N5)=0,COUNTIFS($F$2:$F$46,N5,$Q$2:$Q$46,"Aprobada")&gt;0),OR(O5="",COUNTIF($F$2:$F$46,O5)=0,COUNTIFS($F$2:$F$46,O5,$Q$2:$Q$46,"Aprobada")&gt;0),OR(P5="",COUNTIF($F$2:$F$46,P5)=0,COUNTIFS($F$2:$F$46,P5,$Q$2:$Q$46,"Aprobada")&gt;0)),"Sí","No"),"")</f>
        <v/>
      </c>
      <c r="U5" s="9" t="str">
        <f aca="false">IF(Q5="Aprobada",TRIM(IF(NOT(OR(L5="",COUNTIF($F$2:$F$46,L5)=0,COUNTIFS($F$2:$F$46,L5,$Q$2:$Q$46,"Aprobada")&gt;0)),L5&amp;" ","")&amp;IF(NOT(OR(M5="",COUNTIF($F$2:$F$46,M5)=0,COUNTIFS($F$2:$F$46,M5,$Q$2:$Q$46,"Aprobada")&gt;0)),M5&amp;" ","")&amp;IF(NOT(OR(N5="",COUNTIF($F$2:$F$46,N5)=0,COUNTIFS($F$2:$F$46,N5,$Q$2:$Q$46,"Aprobada")&gt;0)),N5&amp;" ","")&amp;IF(NOT(OR(O5="",COUNTIF($F$2:$F$46,O5)=0,COUNTIFS($F$2:$F$46,O5,$Q$2:$Q$46,"Aprobada")&gt;0)),O5&amp;" ","")&amp;IF(NOT(OR(P5="",COUNTIF($F$2:$F$46,P5)=0,COUNTIFS($F$2:$F$46,P5,$Q$2:$Q$46,"Aprobada")&gt;0)),P5&amp;" ","")),IF(Q5="Cursada aprobada",TRIM(IF(NOT(OR(L5="",COUNTIF($F$2:$F$46,L5)=0,COUNTIFS($F$2:$F$46,L5,$Q$2:$Q$46,"Aprobada")&gt;0,AND(Resumen!$B$15="La cursada aprobada",COUNTIFS($F$2:$F$46,L5,$Q$2:$Q$46,"Cursada aprobada")&gt;0))),L5&amp;" ","")&amp;IF(NOT(OR(M5="",COUNTIF($F$2:$F$46,M5)=0,COUNTIFS($F$2:$F$46,M5,$Q$2:$Q$46,"Aprobada")&gt;0,AND(Resumen!$B$15="La cursada aprobada",COUNTIFS($F$2:$F$46,M5,$Q$2:$Q$46,"Cursada aprobada")&gt;0))),M5&amp;" ","")&amp;IF(NOT(OR(N5="",COUNTIF($F$2:$F$46,N5)=0,COUNTIFS($F$2:$F$46,N5,$Q$2:$Q$46,"Aprobada")&gt;0,AND(Resumen!$B$15="La cursada aprobada",COUNTIFS($F$2:$F$46,N5,$Q$2:$Q$46,"Cursada aprobada")&gt;0))),N5&amp;" ","")&amp;IF(NOT(OR(O5="",COUNTIF($F$2:$F$46,O5)=0,COUNTIFS($F$2:$F$46,O5,$Q$2:$Q$46,"Aprobada")&gt;0,AND(Resumen!$B$15="La cursada aprobada",COUNTIFS($F$2:$F$46,O5,$Q$2:$Q$46,"Cursada aprobada")&gt;0))),O5&amp;" ","")&amp;IF(NOT(OR(P5="",COUNTIF($F$2:$F$46,P5)=0,COUNTIFS($F$2:$F$46,P5,$Q$2:$Q$46,"Aprobada")&gt;0,AND(Resumen!$B$15="La cursada aprobada",COUNTIFS($F$2:$F$46,P5,$Q$2:$Q$46,"Cursada aprobada")&gt;0))),P5&amp;" ","")),""))</f>
        <v/>
      </c>
    </row>
    <row r="6" customFormat="false" ht="15" hidden="false" customHeight="false" outlineLevel="0" collapsed="false">
      <c r="A6" s="8" t="s">
        <v>58</v>
      </c>
      <c r="B6" s="8"/>
      <c r="C6" s="9" t="n">
        <v>1</v>
      </c>
      <c r="D6" s="9" t="n">
        <v>2</v>
      </c>
      <c r="E6" s="9" t="s">
        <v>69</v>
      </c>
      <c r="F6" s="9" t="n">
        <v>158</v>
      </c>
      <c r="G6" s="8" t="s">
        <v>177</v>
      </c>
      <c r="H6" s="9" t="s">
        <v>71</v>
      </c>
      <c r="I6" s="9" t="n">
        <v>4</v>
      </c>
      <c r="J6" s="9"/>
      <c r="K6" s="9" t="n">
        <v>64</v>
      </c>
      <c r="L6" s="9"/>
      <c r="M6" s="9"/>
      <c r="N6" s="9"/>
      <c r="O6" s="9"/>
      <c r="P6" s="9"/>
      <c r="Q6" s="10" t="s">
        <v>62</v>
      </c>
      <c r="R6" s="9" t="str">
        <f aca="false">IF(Q6="Aprobada","Ya aprobada",IF(Q6="Cursada aprobada","Ya cursada",IF(AND(OR(L6="",COUNTIF($F$2:$F$46,L6)=0,COUNTIFS($F$2:$F$46,L6,$Q$2:$Q$46,"Aprobada")&gt;0,AND(Resumen!$B$15="La cursada aprobada",COUNTIFS($F$2:$F$46,L6,$Q$2:$Q$46,"Cursada aprobada")&gt;0)),OR(M6="",COUNTIF($F$2:$F$46,M6)=0,COUNTIFS($F$2:$F$46,M6,$Q$2:$Q$46,"Aprobada")&gt;0,AND(Resumen!$B$15="La cursada aprobada",COUNTIFS($F$2:$F$46,M6,$Q$2:$Q$46,"Cursada aprobada")&gt;0)),OR(N6="",COUNTIF($F$2:$F$46,N6)=0,COUNTIFS($F$2:$F$46,N6,$Q$2:$Q$46,"Aprobada")&gt;0,AND(Resumen!$B$15="La cursada aprobada",COUNTIFS($F$2:$F$46,N6,$Q$2:$Q$46,"Cursada aprobada")&gt;0)),OR(O6="",COUNTIF($F$2:$F$46,O6)=0,COUNTIFS($F$2:$F$46,O6,$Q$2:$Q$46,"Aprobada")&gt;0,AND(Resumen!$B$15="La cursada aprobada",COUNTIFS($F$2:$F$46,O6,$Q$2:$Q$46,"Cursada aprobada")&gt;0)),OR(P6="",COUNTIF($F$2:$F$46,P6)=0,COUNTIFS($F$2:$F$46,P6,$Q$2:$Q$46,"Aprobada")&gt;0,AND(Resumen!$B$15="La cursada aprobada",COUNTIFS($F$2:$F$46,P6,$Q$2:$Q$46,"Cursada aprobada")&gt;0))),"Sí","No")))</f>
        <v>Sí</v>
      </c>
      <c r="S6" s="8" t="str">
        <f aca="false">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</f>
        <v/>
      </c>
      <c r="T6" s="9" t="str">
        <f aca="false">IF(Q6="Cursada aprobada",IF(AND(OR(L6="",COUNTIF($F$2:$F$46,L6)=0,COUNTIFS($F$2:$F$46,L6,$Q$2:$Q$46,"Aprobada")&gt;0),OR(M6="",COUNTIF($F$2:$F$46,M6)=0,COUNTIFS($F$2:$F$46,M6,$Q$2:$Q$46,"Aprobada")&gt;0),OR(N6="",COUNTIF($F$2:$F$46,N6)=0,COUNTIFS($F$2:$F$46,N6,$Q$2:$Q$46,"Aprobada")&gt;0),OR(O6="",COUNTIF($F$2:$F$46,O6)=0,COUNTIFS($F$2:$F$46,O6,$Q$2:$Q$46,"Aprobada")&gt;0),OR(P6="",COUNTIF($F$2:$F$46,P6)=0,COUNTIFS($F$2:$F$46,P6,$Q$2:$Q$46,"Aprobada")&gt;0)),"Sí","No"),"")</f>
        <v/>
      </c>
      <c r="U6" s="9" t="str">
        <f aca="false">IF(Q6="Aprobada",TRIM(IF(NOT(OR(L6="",COUNTIF($F$2:$F$46,L6)=0,COUNTIFS($F$2:$F$46,L6,$Q$2:$Q$46,"Aprobada")&gt;0)),L6&amp;" ","")&amp;IF(NOT(OR(M6="",COUNTIF($F$2:$F$46,M6)=0,COUNTIFS($F$2:$F$46,M6,$Q$2:$Q$46,"Aprobada")&gt;0)),M6&amp;" ","")&amp;IF(NOT(OR(N6="",COUNTIF($F$2:$F$46,N6)=0,COUNTIFS($F$2:$F$46,N6,$Q$2:$Q$46,"Aprobada")&gt;0)),N6&amp;" ","")&amp;IF(NOT(OR(O6="",COUNTIF($F$2:$F$46,O6)=0,COUNTIFS($F$2:$F$46,O6,$Q$2:$Q$46,"Aprobada")&gt;0)),O6&amp;" ","")&amp;IF(NOT(OR(P6="",COUNTIF($F$2:$F$46,P6)=0,COUNTIFS($F$2:$F$46,P6,$Q$2:$Q$46,"Aprobada")&gt;0)),P6&amp;" ","")),IF(Q6="Cursada aprobada",TRIM(IF(NOT(OR(L6="",COUNTIF($F$2:$F$46,L6)=0,COUNTIFS($F$2:$F$46,L6,$Q$2:$Q$46,"Aprobada")&gt;0,AND(Resumen!$B$15="La cursada aprobada",COUNTIFS($F$2:$F$46,L6,$Q$2:$Q$46,"Cursada aprobada")&gt;0))),L6&amp;" ","")&amp;IF(NOT(OR(M6="",COUNTIF($F$2:$F$46,M6)=0,COUNTIFS($F$2:$F$46,M6,$Q$2:$Q$46,"Aprobada")&gt;0,AND(Resumen!$B$15="La cursada aprobada",COUNTIFS($F$2:$F$46,M6,$Q$2:$Q$46,"Cursada aprobada")&gt;0))),M6&amp;" ","")&amp;IF(NOT(OR(N6="",COUNTIF($F$2:$F$46,N6)=0,COUNTIFS($F$2:$F$46,N6,$Q$2:$Q$46,"Aprobada")&gt;0,AND(Resumen!$B$15="La cursada aprobada",COUNTIFS($F$2:$F$46,N6,$Q$2:$Q$46,"Cursada aprobada")&gt;0))),N6&amp;" ","")&amp;IF(NOT(OR(O6="",COUNTIF($F$2:$F$46,O6)=0,COUNTIFS($F$2:$F$46,O6,$Q$2:$Q$46,"Aprobada")&gt;0,AND(Resumen!$B$15="La cursada aprobada",COUNTIFS($F$2:$F$46,O6,$Q$2:$Q$46,"Cursada aprobada")&gt;0))),O6&amp;" ","")&amp;IF(NOT(OR(P6="",COUNTIF($F$2:$F$46,P6)=0,COUNTIFS($F$2:$F$46,P6,$Q$2:$Q$46,"Aprobada")&gt;0,AND(Resumen!$B$15="La cursada aprobada",COUNTIFS($F$2:$F$46,P6,$Q$2:$Q$46,"Cursada aprobada")&gt;0))),P6&amp;" ","")),""))</f>
        <v/>
      </c>
    </row>
    <row r="7" customFormat="false" ht="15" hidden="false" customHeight="false" outlineLevel="0" collapsed="false">
      <c r="A7" s="8" t="s">
        <v>58</v>
      </c>
      <c r="B7" s="8"/>
      <c r="C7" s="9" t="n">
        <v>1</v>
      </c>
      <c r="D7" s="9" t="n">
        <v>2</v>
      </c>
      <c r="E7" s="9" t="s">
        <v>174</v>
      </c>
      <c r="F7" s="9" t="n">
        <v>216</v>
      </c>
      <c r="G7" s="8" t="s">
        <v>178</v>
      </c>
      <c r="H7" s="9" t="s">
        <v>71</v>
      </c>
      <c r="I7" s="9" t="n">
        <v>3</v>
      </c>
      <c r="J7" s="9"/>
      <c r="K7" s="9" t="n">
        <v>48</v>
      </c>
      <c r="L7" s="9"/>
      <c r="M7" s="9"/>
      <c r="N7" s="9"/>
      <c r="O7" s="9"/>
      <c r="P7" s="9"/>
      <c r="Q7" s="10" t="s">
        <v>62</v>
      </c>
      <c r="R7" s="9" t="str">
        <f aca="false">IF(Q7="Aprobada","Ya aprobada",IF(Q7="Cursada aprobada","Ya cursada",IF(AND(OR(L7="",COUNTIF($F$2:$F$46,L7)=0,COUNTIFS($F$2:$F$46,L7,$Q$2:$Q$46,"Aprobada")&gt;0,AND(Resumen!$B$15="La cursada aprobada",COUNTIFS($F$2:$F$46,L7,$Q$2:$Q$46,"Cursada aprobada")&gt;0)),OR(M7="",COUNTIF($F$2:$F$46,M7)=0,COUNTIFS($F$2:$F$46,M7,$Q$2:$Q$46,"Aprobada")&gt;0,AND(Resumen!$B$15="La cursada aprobada",COUNTIFS($F$2:$F$46,M7,$Q$2:$Q$46,"Cursada aprobada")&gt;0)),OR(N7="",COUNTIF($F$2:$F$46,N7)=0,COUNTIFS($F$2:$F$46,N7,$Q$2:$Q$46,"Aprobada")&gt;0,AND(Resumen!$B$15="La cursada aprobada",COUNTIFS($F$2:$F$46,N7,$Q$2:$Q$46,"Cursada aprobada")&gt;0)),OR(O7="",COUNTIF($F$2:$F$46,O7)=0,COUNTIFS($F$2:$F$46,O7,$Q$2:$Q$46,"Aprobada")&gt;0,AND(Resumen!$B$15="La cursada aprobada",COUNTIFS($F$2:$F$46,O7,$Q$2:$Q$46,"Cursada aprobada")&gt;0)),OR(P7="",COUNTIF($F$2:$F$46,P7)=0,COUNTIFS($F$2:$F$46,P7,$Q$2:$Q$46,"Aprobada")&gt;0,AND(Resumen!$B$15="La cursada aprobada",COUNTIFS($F$2:$F$46,P7,$Q$2:$Q$46,"Cursada aprobada")&gt;0))),"Sí","No")))</f>
        <v>Sí</v>
      </c>
      <c r="S7" s="8" t="str">
        <f aca="false">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</f>
        <v/>
      </c>
      <c r="T7" s="9" t="str">
        <f aca="false">IF(Q7="Cursada aprobada",IF(AND(OR(L7="",COUNTIF($F$2:$F$46,L7)=0,COUNTIFS($F$2:$F$46,L7,$Q$2:$Q$46,"Aprobada")&gt;0),OR(M7="",COUNTIF($F$2:$F$46,M7)=0,COUNTIFS($F$2:$F$46,M7,$Q$2:$Q$46,"Aprobada")&gt;0),OR(N7="",COUNTIF($F$2:$F$46,N7)=0,COUNTIFS($F$2:$F$46,N7,$Q$2:$Q$46,"Aprobada")&gt;0),OR(O7="",COUNTIF($F$2:$F$46,O7)=0,COUNTIFS($F$2:$F$46,O7,$Q$2:$Q$46,"Aprobada")&gt;0),OR(P7="",COUNTIF($F$2:$F$46,P7)=0,COUNTIFS($F$2:$F$46,P7,$Q$2:$Q$46,"Aprobada")&gt;0)),"Sí","No"),"")</f>
        <v/>
      </c>
      <c r="U7" s="9" t="str">
        <f aca="false">IF(Q7="Aprobada",TRIM(IF(NOT(OR(L7="",COUNTIF($F$2:$F$46,L7)=0,COUNTIFS($F$2:$F$46,L7,$Q$2:$Q$46,"Aprobada")&gt;0)),L7&amp;" ","")&amp;IF(NOT(OR(M7="",COUNTIF($F$2:$F$46,M7)=0,COUNTIFS($F$2:$F$46,M7,$Q$2:$Q$46,"Aprobada")&gt;0)),M7&amp;" ","")&amp;IF(NOT(OR(N7="",COUNTIF($F$2:$F$46,N7)=0,COUNTIFS($F$2:$F$46,N7,$Q$2:$Q$46,"Aprobada")&gt;0)),N7&amp;" ","")&amp;IF(NOT(OR(O7="",COUNTIF($F$2:$F$46,O7)=0,COUNTIFS($F$2:$F$46,O7,$Q$2:$Q$46,"Aprobada")&gt;0)),O7&amp;" ","")&amp;IF(NOT(OR(P7="",COUNTIF($F$2:$F$46,P7)=0,COUNTIFS($F$2:$F$46,P7,$Q$2:$Q$46,"Aprobada")&gt;0)),P7&amp;" ","")),IF(Q7="Cursada aprobada",TRIM(IF(NOT(OR(L7="",COUNTIF($F$2:$F$46,L7)=0,COUNTIFS($F$2:$F$46,L7,$Q$2:$Q$46,"Aprobada")&gt;0,AND(Resumen!$B$15="La cursada aprobada",COUNTIFS($F$2:$F$46,L7,$Q$2:$Q$46,"Cursada aprobada")&gt;0))),L7&amp;" ","")&amp;IF(NOT(OR(M7="",COUNTIF($F$2:$F$46,M7)=0,COUNTIFS($F$2:$F$46,M7,$Q$2:$Q$46,"Aprobada")&gt;0,AND(Resumen!$B$15="La cursada aprobada",COUNTIFS($F$2:$F$46,M7,$Q$2:$Q$46,"Cursada aprobada")&gt;0))),M7&amp;" ","")&amp;IF(NOT(OR(N7="",COUNTIF($F$2:$F$46,N7)=0,COUNTIFS($F$2:$F$46,N7,$Q$2:$Q$46,"Aprobada")&gt;0,AND(Resumen!$B$15="La cursada aprobada",COUNTIFS($F$2:$F$46,N7,$Q$2:$Q$46,"Cursada aprobada")&gt;0))),N7&amp;" ","")&amp;IF(NOT(OR(O7="",COUNTIF($F$2:$F$46,O7)=0,COUNTIFS($F$2:$F$46,O7,$Q$2:$Q$46,"Aprobada")&gt;0,AND(Resumen!$B$15="La cursada aprobada",COUNTIFS($F$2:$F$46,O7,$Q$2:$Q$46,"Cursada aprobada")&gt;0))),O7&amp;" ","")&amp;IF(NOT(OR(P7="",COUNTIF($F$2:$F$46,P7)=0,COUNTIFS($F$2:$F$46,P7,$Q$2:$Q$46,"Aprobada")&gt;0,AND(Resumen!$B$15="La cursada aprobada",COUNTIFS($F$2:$F$46,P7,$Q$2:$Q$46,"Cursada aprobada")&gt;0))),P7&amp;" ","")),""))</f>
        <v/>
      </c>
    </row>
    <row r="8" customFormat="false" ht="15" hidden="false" customHeight="false" outlineLevel="0" collapsed="false">
      <c r="A8" s="8" t="s">
        <v>58</v>
      </c>
      <c r="B8" s="8"/>
      <c r="C8" s="9" t="n">
        <v>1</v>
      </c>
      <c r="D8" s="9" t="n">
        <v>2</v>
      </c>
      <c r="E8" s="9" t="s">
        <v>63</v>
      </c>
      <c r="F8" s="9" t="n">
        <v>104</v>
      </c>
      <c r="G8" s="8" t="s">
        <v>64</v>
      </c>
      <c r="H8" s="9" t="s">
        <v>61</v>
      </c>
      <c r="I8" s="9" t="n">
        <v>6</v>
      </c>
      <c r="J8" s="9"/>
      <c r="K8" s="9" t="n">
        <v>96</v>
      </c>
      <c r="L8" s="9"/>
      <c r="M8" s="9"/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cursada",IF(AND(OR(L8="",COUNTIF($F$2:$F$46,L8)=0,COUNTIFS($F$2:$F$46,L8,$Q$2:$Q$46,"Aprobada")&gt;0,AND(Resumen!$B$15="La cursada aprobada",COUNTIFS($F$2:$F$46,L8,$Q$2:$Q$46,"Cursada aprobada")&gt;0)),OR(M8="",COUNTIF($F$2:$F$46,M8)=0,COUNTIFS($F$2:$F$46,M8,$Q$2:$Q$46,"Aprobada")&gt;0,AND(Resumen!$B$15="La cursada aprobada",COUNTIFS($F$2:$F$46,M8,$Q$2:$Q$46,"Cursada aprobada")&gt;0)),OR(N8="",COUNTIF($F$2:$F$46,N8)=0,COUNTIFS($F$2:$F$46,N8,$Q$2:$Q$46,"Aprobada")&gt;0,AND(Resumen!$B$15="La cursada aprobada",COUNTIFS($F$2:$F$46,N8,$Q$2:$Q$46,"Cursada aprobada")&gt;0)),OR(O8="",COUNTIF($F$2:$F$46,O8)=0,COUNTIFS($F$2:$F$46,O8,$Q$2:$Q$46,"Aprobada")&gt;0,AND(Resumen!$B$15="La cursada aprobada",COUNTIFS($F$2:$F$46,O8,$Q$2:$Q$46,"Cursada aprobada")&gt;0)),OR(P8="",COUNTIF($F$2:$F$46,P8)=0,COUNTIFS($F$2:$F$46,P8,$Q$2:$Q$46,"Aprobada")&gt;0,AND(Resumen!$B$15="La cursada aprobada",COUNTIFS($F$2:$F$46,P8,$Q$2:$Q$46,"Cursada aprobada")&gt;0))),"Sí","No")))</f>
        <v>Sí</v>
      </c>
      <c r="S8" s="8" t="str">
        <f aca="false">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</f>
        <v/>
      </c>
      <c r="T8" s="9" t="str">
        <f aca="false">IF(Q8="Cursada aprobada",IF(AND(OR(L8="",COUNTIF($F$2:$F$46,L8)=0,COUNTIFS($F$2:$F$46,L8,$Q$2:$Q$46,"Aprobada")&gt;0),OR(M8="",COUNTIF($F$2:$F$46,M8)=0,COUNTIFS($F$2:$F$46,M8,$Q$2:$Q$46,"Aprobada")&gt;0),OR(N8="",COUNTIF($F$2:$F$46,N8)=0,COUNTIFS($F$2:$F$46,N8,$Q$2:$Q$46,"Aprobada")&gt;0),OR(O8="",COUNTIF($F$2:$F$46,O8)=0,COUNTIFS($F$2:$F$46,O8,$Q$2:$Q$46,"Aprobada")&gt;0),OR(P8="",COUNTIF($F$2:$F$46,P8)=0,COUNTIFS($F$2:$F$46,P8,$Q$2:$Q$46,"Aprobada")&gt;0)),"Sí","No"),"")</f>
        <v/>
      </c>
      <c r="U8" s="9" t="str">
        <f aca="false">IF(Q8="Aprobada",TRIM(IF(NOT(OR(L8="",COUNTIF($F$2:$F$46,L8)=0,COUNTIFS($F$2:$F$46,L8,$Q$2:$Q$46,"Aprobada")&gt;0)),L8&amp;" ","")&amp;IF(NOT(OR(M8="",COUNTIF($F$2:$F$46,M8)=0,COUNTIFS($F$2:$F$46,M8,$Q$2:$Q$46,"Aprobada")&gt;0)),M8&amp;" ","")&amp;IF(NOT(OR(N8="",COUNTIF($F$2:$F$46,N8)=0,COUNTIFS($F$2:$F$46,N8,$Q$2:$Q$46,"Aprobada")&gt;0)),N8&amp;" ","")&amp;IF(NOT(OR(O8="",COUNTIF($F$2:$F$46,O8)=0,COUNTIFS($F$2:$F$46,O8,$Q$2:$Q$46,"Aprobada")&gt;0)),O8&amp;" ","")&amp;IF(NOT(OR(P8="",COUNTIF($F$2:$F$46,P8)=0,COUNTIFS($F$2:$F$46,P8,$Q$2:$Q$46,"Aprobada")&gt;0)),P8&amp;" ","")),IF(Q8="Cursada aprobada",TRIM(IF(NOT(OR(L8="",COUNTIF($F$2:$F$46,L8)=0,COUNTIFS($F$2:$F$46,L8,$Q$2:$Q$46,"Aprobada")&gt;0,AND(Resumen!$B$15="La cursada aprobada",COUNTIFS($F$2:$F$46,L8,$Q$2:$Q$46,"Cursada aprobada")&gt;0))),L8&amp;" ","")&amp;IF(NOT(OR(M8="",COUNTIF($F$2:$F$46,M8)=0,COUNTIFS($F$2:$F$46,M8,$Q$2:$Q$46,"Aprobada")&gt;0,AND(Resumen!$B$15="La cursada aprobada",COUNTIFS($F$2:$F$46,M8,$Q$2:$Q$46,"Cursada aprobada")&gt;0))),M8&amp;" ","")&amp;IF(NOT(OR(N8="",COUNTIF($F$2:$F$46,N8)=0,COUNTIFS($F$2:$F$46,N8,$Q$2:$Q$46,"Aprobada")&gt;0,AND(Resumen!$B$15="La cursada aprobada",COUNTIFS($F$2:$F$46,N8,$Q$2:$Q$46,"Cursada aprobada")&gt;0))),N8&amp;" ","")&amp;IF(NOT(OR(O8="",COUNTIF($F$2:$F$46,O8)=0,COUNTIFS($F$2:$F$46,O8,$Q$2:$Q$46,"Aprobada")&gt;0,AND(Resumen!$B$15="La cursada aprobada",COUNTIFS($F$2:$F$46,O8,$Q$2:$Q$46,"Cursada aprobada")&gt;0))),O8&amp;" ","")&amp;IF(NOT(OR(P8="",COUNTIF($F$2:$F$46,P8)=0,COUNTIFS($F$2:$F$46,P8,$Q$2:$Q$46,"Aprobada")&gt;0,AND(Resumen!$B$15="La cursada aprobada",COUNTIFS($F$2:$F$46,P8,$Q$2:$Q$46,"Cursada aprobada")&gt;0))),P8&amp;" ","")),""))</f>
        <v/>
      </c>
    </row>
    <row r="9" customFormat="false" ht="15" hidden="false" customHeight="false" outlineLevel="0" collapsed="false">
      <c r="A9" s="8" t="s">
        <v>58</v>
      </c>
      <c r="B9" s="8"/>
      <c r="C9" s="9" t="n">
        <v>2</v>
      </c>
      <c r="D9" s="9" t="n">
        <v>1</v>
      </c>
      <c r="E9" s="9" t="s">
        <v>77</v>
      </c>
      <c r="F9" s="9" t="n">
        <v>202</v>
      </c>
      <c r="G9" s="8" t="s">
        <v>78</v>
      </c>
      <c r="H9" s="9" t="s">
        <v>71</v>
      </c>
      <c r="I9" s="9" t="n">
        <v>4</v>
      </c>
      <c r="J9" s="9" t="n">
        <v>32</v>
      </c>
      <c r="K9" s="9"/>
      <c r="L9" s="9"/>
      <c r="M9" s="9"/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cursada",IF(AND(OR(L9="",COUNTIF($F$2:$F$46,L9)=0,COUNTIFS($F$2:$F$46,L9,$Q$2:$Q$46,"Aprobada")&gt;0,AND(Resumen!$B$15="La cursada aprobada",COUNTIFS($F$2:$F$46,L9,$Q$2:$Q$46,"Cursada aprobada")&gt;0)),OR(M9="",COUNTIF($F$2:$F$46,M9)=0,COUNTIFS($F$2:$F$46,M9,$Q$2:$Q$46,"Aprobada")&gt;0,AND(Resumen!$B$15="La cursada aprobada",COUNTIFS($F$2:$F$46,M9,$Q$2:$Q$46,"Cursada aprobada")&gt;0)),OR(N9="",COUNTIF($F$2:$F$46,N9)=0,COUNTIFS($F$2:$F$46,N9,$Q$2:$Q$46,"Aprobada")&gt;0,AND(Resumen!$B$15="La cursada aprobada",COUNTIFS($F$2:$F$46,N9,$Q$2:$Q$46,"Cursada aprobada")&gt;0)),OR(O9="",COUNTIF($F$2:$F$46,O9)=0,COUNTIFS($F$2:$F$46,O9,$Q$2:$Q$46,"Aprobada")&gt;0,AND(Resumen!$B$15="La cursada aprobada",COUNTIFS($F$2:$F$46,O9,$Q$2:$Q$46,"Cursada aprobada")&gt;0)),OR(P9="",COUNTIF($F$2:$F$46,P9)=0,COUNTIFS($F$2:$F$46,P9,$Q$2:$Q$46,"Aprobada")&gt;0,AND(Resumen!$B$15="La cursada aprobada",COUNTIFS($F$2:$F$46,P9,$Q$2:$Q$46,"Cursada aprobada")&gt;0))),"Sí","No")))</f>
        <v>Sí</v>
      </c>
      <c r="S9" s="8" t="str">
        <f aca="false">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</f>
        <v/>
      </c>
      <c r="T9" s="9" t="str">
        <f aca="false">IF(Q9="Cursada aprobada",IF(AND(OR(L9="",COUNTIF($F$2:$F$46,L9)=0,COUNTIFS($F$2:$F$46,L9,$Q$2:$Q$46,"Aprobada")&gt;0),OR(M9="",COUNTIF($F$2:$F$46,M9)=0,COUNTIFS($F$2:$F$46,M9,$Q$2:$Q$46,"Aprobada")&gt;0),OR(N9="",COUNTIF($F$2:$F$46,N9)=0,COUNTIFS($F$2:$F$46,N9,$Q$2:$Q$46,"Aprobada")&gt;0),OR(O9="",COUNTIF($F$2:$F$46,O9)=0,COUNTIFS($F$2:$F$46,O9,$Q$2:$Q$46,"Aprobada")&gt;0),OR(P9="",COUNTIF($F$2:$F$46,P9)=0,COUNTIFS($F$2:$F$46,P9,$Q$2:$Q$46,"Aprobada")&gt;0)),"Sí","No"),"")</f>
        <v/>
      </c>
      <c r="U9" s="9" t="str">
        <f aca="false">IF(Q9="Aprobada",TRIM(IF(NOT(OR(L9="",COUNTIF($F$2:$F$46,L9)=0,COUNTIFS($F$2:$F$46,L9,$Q$2:$Q$46,"Aprobada")&gt;0)),L9&amp;" ","")&amp;IF(NOT(OR(M9="",COUNTIF($F$2:$F$46,M9)=0,COUNTIFS($F$2:$F$46,M9,$Q$2:$Q$46,"Aprobada")&gt;0)),M9&amp;" ","")&amp;IF(NOT(OR(N9="",COUNTIF($F$2:$F$46,N9)=0,COUNTIFS($F$2:$F$46,N9,$Q$2:$Q$46,"Aprobada")&gt;0)),N9&amp;" ","")&amp;IF(NOT(OR(O9="",COUNTIF($F$2:$F$46,O9)=0,COUNTIFS($F$2:$F$46,O9,$Q$2:$Q$46,"Aprobada")&gt;0)),O9&amp;" ","")&amp;IF(NOT(OR(P9="",COUNTIF($F$2:$F$46,P9)=0,COUNTIFS($F$2:$F$46,P9,$Q$2:$Q$46,"Aprobada")&gt;0)),P9&amp;" ","")),IF(Q9="Cursada aprobada",TRIM(IF(NOT(OR(L9="",COUNTIF($F$2:$F$46,L9)=0,COUNTIFS($F$2:$F$46,L9,$Q$2:$Q$46,"Aprobada")&gt;0,AND(Resumen!$B$15="La cursada aprobada",COUNTIFS($F$2:$F$46,L9,$Q$2:$Q$46,"Cursada aprobada")&gt;0))),L9&amp;" ","")&amp;IF(NOT(OR(M9="",COUNTIF($F$2:$F$46,M9)=0,COUNTIFS($F$2:$F$46,M9,$Q$2:$Q$46,"Aprobada")&gt;0,AND(Resumen!$B$15="La cursada aprobada",COUNTIFS($F$2:$F$46,M9,$Q$2:$Q$46,"Cursada aprobada")&gt;0))),M9&amp;" ","")&amp;IF(NOT(OR(N9="",COUNTIF($F$2:$F$46,N9)=0,COUNTIFS($F$2:$F$46,N9,$Q$2:$Q$46,"Aprobada")&gt;0,AND(Resumen!$B$15="La cursada aprobada",COUNTIFS($F$2:$F$46,N9,$Q$2:$Q$46,"Cursada aprobada")&gt;0))),N9&amp;" ","")&amp;IF(NOT(OR(O9="",COUNTIF($F$2:$F$46,O9)=0,COUNTIFS($F$2:$F$46,O9,$Q$2:$Q$46,"Aprobada")&gt;0,AND(Resumen!$B$15="La cursada aprobada",COUNTIFS($F$2:$F$46,O9,$Q$2:$Q$46,"Cursada aprobada")&gt;0))),O9&amp;" ","")&amp;IF(NOT(OR(P9="",COUNTIF($F$2:$F$46,P9)=0,COUNTIFS($F$2:$F$46,P9,$Q$2:$Q$46,"Aprobada")&gt;0,AND(Resumen!$B$15="La cursada aprobada",COUNTIFS($F$2:$F$46,P9,$Q$2:$Q$46,"Cursada aprobada")&gt;0))),P9&amp;" ","")),""))</f>
        <v/>
      </c>
    </row>
    <row r="10" customFormat="false" ht="15" hidden="false" customHeight="false" outlineLevel="0" collapsed="false">
      <c r="A10" s="8" t="s">
        <v>58</v>
      </c>
      <c r="B10" s="8"/>
      <c r="C10" s="9" t="n">
        <v>2</v>
      </c>
      <c r="D10" s="9" t="n">
        <v>1</v>
      </c>
      <c r="E10" s="9" t="s">
        <v>77</v>
      </c>
      <c r="F10" s="9" t="n">
        <v>307</v>
      </c>
      <c r="G10" s="8" t="s">
        <v>79</v>
      </c>
      <c r="H10" s="9" t="s">
        <v>71</v>
      </c>
      <c r="I10" s="9" t="n">
        <v>4</v>
      </c>
      <c r="J10" s="9" t="n">
        <v>32</v>
      </c>
      <c r="K10" s="9"/>
      <c r="L10" s="9"/>
      <c r="M10" s="9"/>
      <c r="N10" s="9"/>
      <c r="O10" s="9"/>
      <c r="P10" s="9"/>
      <c r="Q10" s="10" t="s">
        <v>62</v>
      </c>
      <c r="R10" s="9" t="str">
        <f aca="false">IF(Q10="Aprobada","Ya aprobada",IF(Q10="Cursada aprobada","Ya cursada",IF(AND(OR(L10="",COUNTIF($F$2:$F$46,L10)=0,COUNTIFS($F$2:$F$46,L10,$Q$2:$Q$46,"Aprobada")&gt;0,AND(Resumen!$B$15="La cursada aprobada",COUNTIFS($F$2:$F$46,L10,$Q$2:$Q$46,"Cursada aprobada")&gt;0)),OR(M10="",COUNTIF($F$2:$F$46,M10)=0,COUNTIFS($F$2:$F$46,M10,$Q$2:$Q$46,"Aprobada")&gt;0,AND(Resumen!$B$15="La cursada aprobada",COUNTIFS($F$2:$F$46,M10,$Q$2:$Q$46,"Cursada aprobada")&gt;0)),OR(N10="",COUNTIF($F$2:$F$46,N10)=0,COUNTIFS($F$2:$F$46,N10,$Q$2:$Q$46,"Aprobada")&gt;0,AND(Resumen!$B$15="La cursada aprobada",COUNTIFS($F$2:$F$46,N10,$Q$2:$Q$46,"Cursada aprobada")&gt;0)),OR(O10="",COUNTIF($F$2:$F$46,O10)=0,COUNTIFS($F$2:$F$46,O10,$Q$2:$Q$46,"Aprobada")&gt;0,AND(Resumen!$B$15="La cursada aprobada",COUNTIFS($F$2:$F$46,O10,$Q$2:$Q$46,"Cursada aprobada")&gt;0)),OR(P10="",COUNTIF($F$2:$F$46,P10)=0,COUNTIFS($F$2:$F$46,P10,$Q$2:$Q$46,"Aprobada")&gt;0,AND(Resumen!$B$15="La cursada aprobada",COUNTIFS($F$2:$F$46,P10,$Q$2:$Q$46,"Cursada aprobada")&gt;0))),"Sí","No")))</f>
        <v>Sí</v>
      </c>
      <c r="S10" s="8" t="str">
        <f aca="false">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</f>
        <v/>
      </c>
      <c r="T10" s="9" t="str">
        <f aca="false">IF(Q10="Cursada aprobada",IF(AND(OR(L10="",COUNTIF($F$2:$F$46,L10)=0,COUNTIFS($F$2:$F$46,L10,$Q$2:$Q$46,"Aprobada")&gt;0),OR(M10="",COUNTIF($F$2:$F$46,M10)=0,COUNTIFS($F$2:$F$46,M10,$Q$2:$Q$46,"Aprobada")&gt;0),OR(N10="",COUNTIF($F$2:$F$46,N10)=0,COUNTIFS($F$2:$F$46,N10,$Q$2:$Q$46,"Aprobada")&gt;0),OR(O10="",COUNTIF($F$2:$F$46,O10)=0,COUNTIFS($F$2:$F$46,O10,$Q$2:$Q$46,"Aprobada")&gt;0),OR(P10="",COUNTIF($F$2:$F$46,P10)=0,COUNTIFS($F$2:$F$46,P10,$Q$2:$Q$46,"Aprobada")&gt;0)),"Sí","No"),"")</f>
        <v/>
      </c>
      <c r="U10" s="9" t="str">
        <f aca="false">IF(Q10="Aprobada",TRIM(IF(NOT(OR(L10="",COUNTIF($F$2:$F$46,L10)=0,COUNTIFS($F$2:$F$46,L10,$Q$2:$Q$46,"Aprobada")&gt;0)),L10&amp;" ","")&amp;IF(NOT(OR(M10="",COUNTIF($F$2:$F$46,M10)=0,COUNTIFS($F$2:$F$46,M10,$Q$2:$Q$46,"Aprobada")&gt;0)),M10&amp;" ","")&amp;IF(NOT(OR(N10="",COUNTIF($F$2:$F$46,N10)=0,COUNTIFS($F$2:$F$46,N10,$Q$2:$Q$46,"Aprobada")&gt;0)),N10&amp;" ","")&amp;IF(NOT(OR(O10="",COUNTIF($F$2:$F$46,O10)=0,COUNTIFS($F$2:$F$46,O10,$Q$2:$Q$46,"Aprobada")&gt;0)),O10&amp;" ","")&amp;IF(NOT(OR(P10="",COUNTIF($F$2:$F$46,P10)=0,COUNTIFS($F$2:$F$46,P10,$Q$2:$Q$46,"Aprobada")&gt;0)),P10&amp;" ","")),IF(Q10="Cursada aprobada",TRIM(IF(NOT(OR(L10="",COUNTIF($F$2:$F$46,L10)=0,COUNTIFS($F$2:$F$46,L10,$Q$2:$Q$46,"Aprobada")&gt;0,AND(Resumen!$B$15="La cursada aprobada",COUNTIFS($F$2:$F$46,L10,$Q$2:$Q$46,"Cursada aprobada")&gt;0))),L10&amp;" ","")&amp;IF(NOT(OR(M10="",COUNTIF($F$2:$F$46,M10)=0,COUNTIFS($F$2:$F$46,M10,$Q$2:$Q$46,"Aprobada")&gt;0,AND(Resumen!$B$15="La cursada aprobada",COUNTIFS($F$2:$F$46,M10,$Q$2:$Q$46,"Cursada aprobada")&gt;0))),M10&amp;" ","")&amp;IF(NOT(OR(N10="",COUNTIF($F$2:$F$46,N10)=0,COUNTIFS($F$2:$F$46,N10,$Q$2:$Q$46,"Aprobada")&gt;0,AND(Resumen!$B$15="La cursada aprobada",COUNTIFS($F$2:$F$46,N10,$Q$2:$Q$46,"Cursada aprobada")&gt;0))),N10&amp;" ","")&amp;IF(NOT(OR(O10="",COUNTIF($F$2:$F$46,O10)=0,COUNTIFS($F$2:$F$46,O10,$Q$2:$Q$46,"Aprobada")&gt;0,AND(Resumen!$B$15="La cursada aprobada",COUNTIFS($F$2:$F$46,O10,$Q$2:$Q$46,"Cursada aprobada")&gt;0))),O10&amp;" ","")&amp;IF(NOT(OR(P10="",COUNTIF($F$2:$F$46,P10)=0,COUNTIFS($F$2:$F$46,P10,$Q$2:$Q$46,"Aprobada")&gt;0,AND(Resumen!$B$15="La cursada aprobada",COUNTIFS($F$2:$F$46,P10,$Q$2:$Q$46,"Cursada aprobada")&gt;0))),P10&amp;" ","")),""))</f>
        <v/>
      </c>
    </row>
    <row r="11" customFormat="false" ht="15" hidden="false" customHeight="false" outlineLevel="0" collapsed="false">
      <c r="A11" s="8" t="s">
        <v>58</v>
      </c>
      <c r="B11" s="8"/>
      <c r="C11" s="9" t="n">
        <v>2</v>
      </c>
      <c r="D11" s="9" t="n">
        <v>1</v>
      </c>
      <c r="E11" s="9" t="s">
        <v>69</v>
      </c>
      <c r="F11" s="9" t="n">
        <v>280</v>
      </c>
      <c r="G11" s="8" t="s">
        <v>76</v>
      </c>
      <c r="H11" s="9" t="s">
        <v>71</v>
      </c>
      <c r="I11" s="9" t="n">
        <v>4</v>
      </c>
      <c r="J11" s="9"/>
      <c r="K11" s="9" t="n">
        <v>64</v>
      </c>
      <c r="L11" s="9" t="n">
        <v>180</v>
      </c>
      <c r="M11" s="9"/>
      <c r="N11" s="9"/>
      <c r="O11" s="9"/>
      <c r="P11" s="9"/>
      <c r="Q11" s="10" t="s">
        <v>62</v>
      </c>
      <c r="R11" s="9" t="str">
        <f aca="false">IF(Q11="Aprobada","Ya aprobada",IF(Q11="Cursada aprobada","Ya cursada",IF(AND(OR(L11="",COUNTIF($F$2:$F$46,L11)=0,COUNTIFS($F$2:$F$46,L11,$Q$2:$Q$46,"Aprobada")&gt;0,AND(Resumen!$B$15="La cursada aprobada",COUNTIFS($F$2:$F$46,L11,$Q$2:$Q$46,"Cursada aprobada")&gt;0)),OR(M11="",COUNTIF($F$2:$F$46,M11)=0,COUNTIFS($F$2:$F$46,M11,$Q$2:$Q$46,"Aprobada")&gt;0,AND(Resumen!$B$15="La cursada aprobada",COUNTIFS($F$2:$F$46,M11,$Q$2:$Q$46,"Cursada aprobada")&gt;0)),OR(N11="",COUNTIF($F$2:$F$46,N11)=0,COUNTIFS($F$2:$F$46,N11,$Q$2:$Q$46,"Aprobada")&gt;0,AND(Resumen!$B$15="La cursada aprobada",COUNTIFS($F$2:$F$46,N11,$Q$2:$Q$46,"Cursada aprobada")&gt;0)),OR(O11="",COUNTIF($F$2:$F$46,O11)=0,COUNTIFS($F$2:$F$46,O11,$Q$2:$Q$46,"Aprobada")&gt;0,AND(Resumen!$B$15="La cursada aprobada",COUNTIFS($F$2:$F$46,O11,$Q$2:$Q$46,"Cursada aprobada")&gt;0)),OR(P11="",COUNTIF($F$2:$F$46,P11)=0,COUNTIFS($F$2:$F$46,P11,$Q$2:$Q$46,"Aprobada")&gt;0,AND(Resumen!$B$15="La cursada aprobada",COUNTIFS($F$2:$F$46,P11,$Q$2:$Q$46,"Cursada aprobada")&gt;0))),"Sí","No")))</f>
        <v>No</v>
      </c>
      <c r="S11" s="8" t="str">
        <f aca="false">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</f>
        <v>180</v>
      </c>
      <c r="T11" s="9" t="str">
        <f aca="false">IF(Q11="Cursada aprobada",IF(AND(OR(L11="",COUNTIF($F$2:$F$46,L11)=0,COUNTIFS($F$2:$F$46,L11,$Q$2:$Q$46,"Aprobada")&gt;0),OR(M11="",COUNTIF($F$2:$F$46,M11)=0,COUNTIFS($F$2:$F$46,M11,$Q$2:$Q$46,"Aprobada")&gt;0),OR(N11="",COUNTIF($F$2:$F$46,N11)=0,COUNTIFS($F$2:$F$46,N11,$Q$2:$Q$46,"Aprobada")&gt;0),OR(O11="",COUNTIF($F$2:$F$46,O11)=0,COUNTIFS($F$2:$F$46,O11,$Q$2:$Q$46,"Aprobada")&gt;0),OR(P11="",COUNTIF($F$2:$F$46,P11)=0,COUNTIFS($F$2:$F$46,P11,$Q$2:$Q$46,"Aprobada")&gt;0)),"Sí","No"),"")</f>
        <v/>
      </c>
      <c r="U11" s="9" t="str">
        <f aca="false">IF(Q11="Aprobada",TRIM(IF(NOT(OR(L11="",COUNTIF($F$2:$F$46,L11)=0,COUNTIFS($F$2:$F$46,L11,$Q$2:$Q$46,"Aprobada")&gt;0)),L11&amp;" ","")&amp;IF(NOT(OR(M11="",COUNTIF($F$2:$F$46,M11)=0,COUNTIFS($F$2:$F$46,M11,$Q$2:$Q$46,"Aprobada")&gt;0)),M11&amp;" ","")&amp;IF(NOT(OR(N11="",COUNTIF($F$2:$F$46,N11)=0,COUNTIFS($F$2:$F$46,N11,$Q$2:$Q$46,"Aprobada")&gt;0)),N11&amp;" ","")&amp;IF(NOT(OR(O11="",COUNTIF($F$2:$F$46,O11)=0,COUNTIFS($F$2:$F$46,O11,$Q$2:$Q$46,"Aprobada")&gt;0)),O11&amp;" ","")&amp;IF(NOT(OR(P11="",COUNTIF($F$2:$F$46,P11)=0,COUNTIFS($F$2:$F$46,P11,$Q$2:$Q$46,"Aprobada")&gt;0)),P11&amp;" ","")),IF(Q11="Cursada aprobada",TRIM(IF(NOT(OR(L11="",COUNTIF($F$2:$F$46,L11)=0,COUNTIFS($F$2:$F$46,L11,$Q$2:$Q$46,"Aprobada")&gt;0,AND(Resumen!$B$15="La cursada aprobada",COUNTIFS($F$2:$F$46,L11,$Q$2:$Q$46,"Cursada aprobada")&gt;0))),L11&amp;" ","")&amp;IF(NOT(OR(M11="",COUNTIF($F$2:$F$46,M11)=0,COUNTIFS($F$2:$F$46,M11,$Q$2:$Q$46,"Aprobada")&gt;0,AND(Resumen!$B$15="La cursada aprobada",COUNTIFS($F$2:$F$46,M11,$Q$2:$Q$46,"Cursada aprobada")&gt;0))),M11&amp;" ","")&amp;IF(NOT(OR(N11="",COUNTIF($F$2:$F$46,N11)=0,COUNTIFS($F$2:$F$46,N11,$Q$2:$Q$46,"Aprobada")&gt;0,AND(Resumen!$B$15="La cursada aprobada",COUNTIFS($F$2:$F$46,N11,$Q$2:$Q$46,"Cursada aprobada")&gt;0))),N11&amp;" ","")&amp;IF(NOT(OR(O11="",COUNTIF($F$2:$F$46,O11)=0,COUNTIFS($F$2:$F$46,O11,$Q$2:$Q$46,"Aprobada")&gt;0,AND(Resumen!$B$15="La cursada aprobada",COUNTIFS($F$2:$F$46,O11,$Q$2:$Q$46,"Cursada aprobada")&gt;0))),O11&amp;" ","")&amp;IF(NOT(OR(P11="",COUNTIF($F$2:$F$46,P11)=0,COUNTIFS($F$2:$F$46,P11,$Q$2:$Q$46,"Aprobada")&gt;0,AND(Resumen!$B$15="La cursada aprobada",COUNTIFS($F$2:$F$46,P11,$Q$2:$Q$46,"Cursada aprobada")&gt;0))),P11&amp;" ","")),""))</f>
        <v/>
      </c>
    </row>
    <row r="12" customFormat="false" ht="15" hidden="false" customHeight="false" outlineLevel="0" collapsed="false">
      <c r="A12" s="8" t="s">
        <v>58</v>
      </c>
      <c r="B12" s="8"/>
      <c r="C12" s="9" t="n">
        <v>2</v>
      </c>
      <c r="D12" s="9" t="n">
        <v>1</v>
      </c>
      <c r="E12" s="9" t="s">
        <v>67</v>
      </c>
      <c r="F12" s="9" t="n">
        <v>308</v>
      </c>
      <c r="G12" s="8" t="s">
        <v>75</v>
      </c>
      <c r="H12" s="9" t="s">
        <v>61</v>
      </c>
      <c r="I12" s="9" t="n">
        <v>6</v>
      </c>
      <c r="J12" s="9"/>
      <c r="K12" s="9" t="n">
        <v>96</v>
      </c>
      <c r="L12" s="9" t="n">
        <v>104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cursada",IF(AND(OR(L12="",COUNTIF($F$2:$F$46,L12)=0,COUNTIFS($F$2:$F$46,L12,$Q$2:$Q$46,"Aprobada")&gt;0,AND(Resumen!$B$15="La cursada aprobada",COUNTIFS($F$2:$F$46,L12,$Q$2:$Q$46,"Cursada aprobada")&gt;0)),OR(M12="",COUNTIF($F$2:$F$46,M12)=0,COUNTIFS($F$2:$F$46,M12,$Q$2:$Q$46,"Aprobada")&gt;0,AND(Resumen!$B$15="La cursada aprobada",COUNTIFS($F$2:$F$46,M12,$Q$2:$Q$46,"Cursada aprobada")&gt;0)),OR(N12="",COUNTIF($F$2:$F$46,N12)=0,COUNTIFS($F$2:$F$46,N12,$Q$2:$Q$46,"Aprobada")&gt;0,AND(Resumen!$B$15="La cursada aprobada",COUNTIFS($F$2:$F$46,N12,$Q$2:$Q$46,"Cursada aprobada")&gt;0)),OR(O12="",COUNTIF($F$2:$F$46,O12)=0,COUNTIFS($F$2:$F$46,O12,$Q$2:$Q$46,"Aprobada")&gt;0,AND(Resumen!$B$15="La cursada aprobada",COUNTIFS($F$2:$F$46,O12,$Q$2:$Q$46,"Cursada aprobada")&gt;0)),OR(P12="",COUNTIF($F$2:$F$46,P12)=0,COUNTIFS($F$2:$F$46,P12,$Q$2:$Q$46,"Aprobada")&gt;0,AND(Resumen!$B$15="La cursada aprobada",COUNTIFS($F$2:$F$46,P12,$Q$2:$Q$46,"Cursada aprobada")&gt;0))),"Sí","No")))</f>
        <v>No</v>
      </c>
      <c r="S12" s="8" t="str">
        <f aca="false">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</f>
        <v>104</v>
      </c>
      <c r="T12" s="9" t="str">
        <f aca="false">IF(Q12="Cursada aprobada",IF(AND(OR(L12="",COUNTIF($F$2:$F$46,L12)=0,COUNTIFS($F$2:$F$46,L12,$Q$2:$Q$46,"Aprobada")&gt;0),OR(M12="",COUNTIF($F$2:$F$46,M12)=0,COUNTIFS($F$2:$F$46,M12,$Q$2:$Q$46,"Aprobada")&gt;0),OR(N12="",COUNTIF($F$2:$F$46,N12)=0,COUNTIFS($F$2:$F$46,N12,$Q$2:$Q$46,"Aprobada")&gt;0),OR(O12="",COUNTIF($F$2:$F$46,O12)=0,COUNTIFS($F$2:$F$46,O12,$Q$2:$Q$46,"Aprobada")&gt;0),OR(P12="",COUNTIF($F$2:$F$46,P12)=0,COUNTIFS($F$2:$F$46,P12,$Q$2:$Q$46,"Aprobada")&gt;0)),"Sí","No"),"")</f>
        <v/>
      </c>
      <c r="U12" s="9" t="str">
        <f aca="false">IF(Q12="Aprobada",TRIM(IF(NOT(OR(L12="",COUNTIF($F$2:$F$46,L12)=0,COUNTIFS($F$2:$F$46,L12,$Q$2:$Q$46,"Aprobada")&gt;0)),L12&amp;" ","")&amp;IF(NOT(OR(M12="",COUNTIF($F$2:$F$46,M12)=0,COUNTIFS($F$2:$F$46,M12,$Q$2:$Q$46,"Aprobada")&gt;0)),M12&amp;" ","")&amp;IF(NOT(OR(N12="",COUNTIF($F$2:$F$46,N12)=0,COUNTIFS($F$2:$F$46,N12,$Q$2:$Q$46,"Aprobada")&gt;0)),N12&amp;" ","")&amp;IF(NOT(OR(O12="",COUNTIF($F$2:$F$46,O12)=0,COUNTIFS($F$2:$F$46,O12,$Q$2:$Q$46,"Aprobada")&gt;0)),O12&amp;" ","")&amp;IF(NOT(OR(P12="",COUNTIF($F$2:$F$46,P12)=0,COUNTIFS($F$2:$F$46,P12,$Q$2:$Q$46,"Aprobada")&gt;0)),P12&amp;" ","")),IF(Q12="Cursada aprobada",TRIM(IF(NOT(OR(L12="",COUNTIF($F$2:$F$46,L12)=0,COUNTIFS($F$2:$F$46,L12,$Q$2:$Q$46,"Aprobada")&gt;0,AND(Resumen!$B$15="La cursada aprobada",COUNTIFS($F$2:$F$46,L12,$Q$2:$Q$46,"Cursada aprobada")&gt;0))),L12&amp;" ","")&amp;IF(NOT(OR(M12="",COUNTIF($F$2:$F$46,M12)=0,COUNTIFS($F$2:$F$46,M12,$Q$2:$Q$46,"Aprobada")&gt;0,AND(Resumen!$B$15="La cursada aprobada",COUNTIFS($F$2:$F$46,M12,$Q$2:$Q$46,"Cursada aprobada")&gt;0))),M12&amp;" ","")&amp;IF(NOT(OR(N12="",COUNTIF($F$2:$F$46,N12)=0,COUNTIFS($F$2:$F$46,N12,$Q$2:$Q$46,"Aprobada")&gt;0,AND(Resumen!$B$15="La cursada aprobada",COUNTIFS($F$2:$F$46,N12,$Q$2:$Q$46,"Cursada aprobada")&gt;0))),N12&amp;" ","")&amp;IF(NOT(OR(O12="",COUNTIF($F$2:$F$46,O12)=0,COUNTIFS($F$2:$F$46,O12,$Q$2:$Q$46,"Aprobada")&gt;0,AND(Resumen!$B$15="La cursada aprobada",COUNTIFS($F$2:$F$46,O12,$Q$2:$Q$46,"Cursada aprobada")&gt;0))),O12&amp;" ","")&amp;IF(NOT(OR(P12="",COUNTIF($F$2:$F$46,P12)=0,COUNTIFS($F$2:$F$46,P12,$Q$2:$Q$46,"Aprobada")&gt;0,AND(Resumen!$B$15="La cursada aprobada",COUNTIFS($F$2:$F$46,P12,$Q$2:$Q$46,"Cursada aprobada")&gt;0))),P12&amp;" ","")),""))</f>
        <v/>
      </c>
    </row>
    <row r="13" customFormat="false" ht="15" hidden="false" customHeight="false" outlineLevel="0" collapsed="false">
      <c r="A13" s="8" t="s">
        <v>58</v>
      </c>
      <c r="B13" s="8"/>
      <c r="C13" s="9" t="n">
        <v>2</v>
      </c>
      <c r="D13" s="9" t="n">
        <v>1</v>
      </c>
      <c r="E13" s="9" t="s">
        <v>69</v>
      </c>
      <c r="F13" s="9" t="n">
        <v>215</v>
      </c>
      <c r="G13" s="8" t="s">
        <v>179</v>
      </c>
      <c r="H13" s="9" t="s">
        <v>71</v>
      </c>
      <c r="I13" s="9" t="n">
        <v>3</v>
      </c>
      <c r="J13" s="9"/>
      <c r="K13" s="9" t="n">
        <v>48</v>
      </c>
      <c r="L13" s="9"/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cursada",IF(AND(OR(L13="",COUNTIF($F$2:$F$46,L13)=0,COUNTIFS($F$2:$F$46,L13,$Q$2:$Q$46,"Aprobada")&gt;0,AND(Resumen!$B$15="La cursada aprobada",COUNTIFS($F$2:$F$46,L13,$Q$2:$Q$46,"Cursada aprobada")&gt;0)),OR(M13="",COUNTIF($F$2:$F$46,M13)=0,COUNTIFS($F$2:$F$46,M13,$Q$2:$Q$46,"Aprobada")&gt;0,AND(Resumen!$B$15="La cursada aprobada",COUNTIFS($F$2:$F$46,M13,$Q$2:$Q$46,"Cursada aprobada")&gt;0)),OR(N13="",COUNTIF($F$2:$F$46,N13)=0,COUNTIFS($F$2:$F$46,N13,$Q$2:$Q$46,"Aprobada")&gt;0,AND(Resumen!$B$15="La cursada aprobada",COUNTIFS($F$2:$F$46,N13,$Q$2:$Q$46,"Cursada aprobada")&gt;0)),OR(O13="",COUNTIF($F$2:$F$46,O13)=0,COUNTIFS($F$2:$F$46,O13,$Q$2:$Q$46,"Aprobada")&gt;0,AND(Resumen!$B$15="La cursada aprobada",COUNTIFS($F$2:$F$46,O13,$Q$2:$Q$46,"Cursada aprobada")&gt;0)),OR(P13="",COUNTIF($F$2:$F$46,P13)=0,COUNTIFS($F$2:$F$46,P13,$Q$2:$Q$46,"Aprobada")&gt;0,AND(Resumen!$B$15="La cursada aprobada",COUNTIFS($F$2:$F$46,P13,$Q$2:$Q$46,"Cursada aprobada")&gt;0))),"Sí","No")))</f>
        <v>Sí</v>
      </c>
      <c r="S13" s="8" t="str">
        <f aca="false">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</f>
        <v/>
      </c>
      <c r="T13" s="9" t="str">
        <f aca="false">IF(Q13="Cursada aprobada",IF(AND(OR(L13="",COUNTIF($F$2:$F$46,L13)=0,COUNTIFS($F$2:$F$46,L13,$Q$2:$Q$46,"Aprobada")&gt;0),OR(M13="",COUNTIF($F$2:$F$46,M13)=0,COUNTIFS($F$2:$F$46,M13,$Q$2:$Q$46,"Aprobada")&gt;0),OR(N13="",COUNTIF($F$2:$F$46,N13)=0,COUNTIFS($F$2:$F$46,N13,$Q$2:$Q$46,"Aprobada")&gt;0),OR(O13="",COUNTIF($F$2:$F$46,O13)=0,COUNTIFS($F$2:$F$46,O13,$Q$2:$Q$46,"Aprobada")&gt;0),OR(P13="",COUNTIF($F$2:$F$46,P13)=0,COUNTIFS($F$2:$F$46,P13,$Q$2:$Q$46,"Aprobada")&gt;0)),"Sí","No"),"")</f>
        <v/>
      </c>
      <c r="U13" s="9" t="str">
        <f aca="false">IF(Q13="Aprobada",TRIM(IF(NOT(OR(L13="",COUNTIF($F$2:$F$46,L13)=0,COUNTIFS($F$2:$F$46,L13,$Q$2:$Q$46,"Aprobada")&gt;0)),L13&amp;" ","")&amp;IF(NOT(OR(M13="",COUNTIF($F$2:$F$46,M13)=0,COUNTIFS($F$2:$F$46,M13,$Q$2:$Q$46,"Aprobada")&gt;0)),M13&amp;" ","")&amp;IF(NOT(OR(N13="",COUNTIF($F$2:$F$46,N13)=0,COUNTIFS($F$2:$F$46,N13,$Q$2:$Q$46,"Aprobada")&gt;0)),N13&amp;" ","")&amp;IF(NOT(OR(O13="",COUNTIF($F$2:$F$46,O13)=0,COUNTIFS($F$2:$F$46,O13,$Q$2:$Q$46,"Aprobada")&gt;0)),O13&amp;" ","")&amp;IF(NOT(OR(P13="",COUNTIF($F$2:$F$46,P13)=0,COUNTIFS($F$2:$F$46,P13,$Q$2:$Q$46,"Aprobada")&gt;0)),P13&amp;" ","")),IF(Q13="Cursada aprobada",TRIM(IF(NOT(OR(L13="",COUNTIF($F$2:$F$46,L13)=0,COUNTIFS($F$2:$F$46,L13,$Q$2:$Q$46,"Aprobada")&gt;0,AND(Resumen!$B$15="La cursada aprobada",COUNTIFS($F$2:$F$46,L13,$Q$2:$Q$46,"Cursada aprobada")&gt;0))),L13&amp;" ","")&amp;IF(NOT(OR(M13="",COUNTIF($F$2:$F$46,M13)=0,COUNTIFS($F$2:$F$46,M13,$Q$2:$Q$46,"Aprobada")&gt;0,AND(Resumen!$B$15="La cursada aprobada",COUNTIFS($F$2:$F$46,M13,$Q$2:$Q$46,"Cursada aprobada")&gt;0))),M13&amp;" ","")&amp;IF(NOT(OR(N13="",COUNTIF($F$2:$F$46,N13)=0,COUNTIFS($F$2:$F$46,N13,$Q$2:$Q$46,"Aprobada")&gt;0,AND(Resumen!$B$15="La cursada aprobada",COUNTIFS($F$2:$F$46,N13,$Q$2:$Q$46,"Cursada aprobada")&gt;0))),N13&amp;" ","")&amp;IF(NOT(OR(O13="",COUNTIF($F$2:$F$46,O13)=0,COUNTIFS($F$2:$F$46,O13,$Q$2:$Q$46,"Aprobada")&gt;0,AND(Resumen!$B$15="La cursada aprobada",COUNTIFS($F$2:$F$46,O13,$Q$2:$Q$46,"Cursada aprobada")&gt;0))),O13&amp;" ","")&amp;IF(NOT(OR(P13="",COUNTIF($F$2:$F$46,P13)=0,COUNTIFS($F$2:$F$46,P13,$Q$2:$Q$46,"Aprobada")&gt;0,AND(Resumen!$B$15="La cursada aprobada",COUNTIFS($F$2:$F$46,P13,$Q$2:$Q$46,"Cursada aprobada")&gt;0))),P13&amp;" ","")),""))</f>
        <v/>
      </c>
    </row>
    <row r="14" customFormat="false" ht="15" hidden="false" customHeight="false" outlineLevel="0" collapsed="false">
      <c r="A14" s="8" t="s">
        <v>58</v>
      </c>
      <c r="B14" s="8"/>
      <c r="C14" s="9" t="n">
        <v>2</v>
      </c>
      <c r="D14" s="9" t="n">
        <v>2</v>
      </c>
      <c r="E14" s="9" t="s">
        <v>174</v>
      </c>
      <c r="F14" s="9" t="n">
        <v>277</v>
      </c>
      <c r="G14" s="8" t="s">
        <v>180</v>
      </c>
      <c r="H14" s="9" t="s">
        <v>61</v>
      </c>
      <c r="I14" s="9" t="n">
        <v>6</v>
      </c>
      <c r="J14" s="9"/>
      <c r="K14" s="9" t="n">
        <v>96</v>
      </c>
      <c r="L14" s="9"/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cursada",IF(AND(OR(L14="",COUNTIF($F$2:$F$46,L14)=0,COUNTIFS($F$2:$F$46,L14,$Q$2:$Q$46,"Aprobada")&gt;0,AND(Resumen!$B$15="La cursada aprobada",COUNTIFS($F$2:$F$46,L14,$Q$2:$Q$46,"Cursada aprobada")&gt;0)),OR(M14="",COUNTIF($F$2:$F$46,M14)=0,COUNTIFS($F$2:$F$46,M14,$Q$2:$Q$46,"Aprobada")&gt;0,AND(Resumen!$B$15="La cursada aprobada",COUNTIFS($F$2:$F$46,M14,$Q$2:$Q$46,"Cursada aprobada")&gt;0)),OR(N14="",COUNTIF($F$2:$F$46,N14)=0,COUNTIFS($F$2:$F$46,N14,$Q$2:$Q$46,"Aprobada")&gt;0,AND(Resumen!$B$15="La cursada aprobada",COUNTIFS($F$2:$F$46,N14,$Q$2:$Q$46,"Cursada aprobada")&gt;0)),OR(O14="",COUNTIF($F$2:$F$46,O14)=0,COUNTIFS($F$2:$F$46,O14,$Q$2:$Q$46,"Aprobada")&gt;0,AND(Resumen!$B$15="La cursada aprobada",COUNTIFS($F$2:$F$46,O14,$Q$2:$Q$46,"Cursada aprobada")&gt;0)),OR(P14="",COUNTIF($F$2:$F$46,P14)=0,COUNTIFS($F$2:$F$46,P14,$Q$2:$Q$46,"Aprobada")&gt;0,AND(Resumen!$B$15="La cursada aprobada",COUNTIFS($F$2:$F$46,P14,$Q$2:$Q$46,"Cursada aprobada")&gt;0))),"Sí","No")))</f>
        <v>Sí</v>
      </c>
      <c r="S14" s="8" t="str">
        <f aca="false">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</f>
        <v/>
      </c>
      <c r="T14" s="9" t="str">
        <f aca="false">IF(Q14="Cursada aprobada",IF(AND(OR(L14="",COUNTIF($F$2:$F$46,L14)=0,COUNTIFS($F$2:$F$46,L14,$Q$2:$Q$46,"Aprobada")&gt;0),OR(M14="",COUNTIF($F$2:$F$46,M14)=0,COUNTIFS($F$2:$F$46,M14,$Q$2:$Q$46,"Aprobada")&gt;0),OR(N14="",COUNTIF($F$2:$F$46,N14)=0,COUNTIFS($F$2:$F$46,N14,$Q$2:$Q$46,"Aprobada")&gt;0),OR(O14="",COUNTIF($F$2:$F$46,O14)=0,COUNTIFS($F$2:$F$46,O14,$Q$2:$Q$46,"Aprobada")&gt;0),OR(P14="",COUNTIF($F$2:$F$46,P14)=0,COUNTIFS($F$2:$F$46,P14,$Q$2:$Q$46,"Aprobada")&gt;0)),"Sí","No"),"")</f>
        <v/>
      </c>
      <c r="U14" s="9" t="str">
        <f aca="false">IF(Q14="Aprobada",TRIM(IF(NOT(OR(L14="",COUNTIF($F$2:$F$46,L14)=0,COUNTIFS($F$2:$F$46,L14,$Q$2:$Q$46,"Aprobada")&gt;0)),L14&amp;" ","")&amp;IF(NOT(OR(M14="",COUNTIF($F$2:$F$46,M14)=0,COUNTIFS($F$2:$F$46,M14,$Q$2:$Q$46,"Aprobada")&gt;0)),M14&amp;" ","")&amp;IF(NOT(OR(N14="",COUNTIF($F$2:$F$46,N14)=0,COUNTIFS($F$2:$F$46,N14,$Q$2:$Q$46,"Aprobada")&gt;0)),N14&amp;" ","")&amp;IF(NOT(OR(O14="",COUNTIF($F$2:$F$46,O14)=0,COUNTIFS($F$2:$F$46,O14,$Q$2:$Q$46,"Aprobada")&gt;0)),O14&amp;" ","")&amp;IF(NOT(OR(P14="",COUNTIF($F$2:$F$46,P14)=0,COUNTIFS($F$2:$F$46,P14,$Q$2:$Q$46,"Aprobada")&gt;0)),P14&amp;" ","")),IF(Q14="Cursada aprobada",TRIM(IF(NOT(OR(L14="",COUNTIF($F$2:$F$46,L14)=0,COUNTIFS($F$2:$F$46,L14,$Q$2:$Q$46,"Aprobada")&gt;0,AND(Resumen!$B$15="La cursada aprobada",COUNTIFS($F$2:$F$46,L14,$Q$2:$Q$46,"Cursada aprobada")&gt;0))),L14&amp;" ","")&amp;IF(NOT(OR(M14="",COUNTIF($F$2:$F$46,M14)=0,COUNTIFS($F$2:$F$46,M14,$Q$2:$Q$46,"Aprobada")&gt;0,AND(Resumen!$B$15="La cursada aprobada",COUNTIFS($F$2:$F$46,M14,$Q$2:$Q$46,"Cursada aprobada")&gt;0))),M14&amp;" ","")&amp;IF(NOT(OR(N14="",COUNTIF($F$2:$F$46,N14)=0,COUNTIFS($F$2:$F$46,N14,$Q$2:$Q$46,"Aprobada")&gt;0,AND(Resumen!$B$15="La cursada aprobada",COUNTIFS($F$2:$F$46,N14,$Q$2:$Q$46,"Cursada aprobada")&gt;0))),N14&amp;" ","")&amp;IF(NOT(OR(O14="",COUNTIF($F$2:$F$46,O14)=0,COUNTIFS($F$2:$F$46,O14,$Q$2:$Q$46,"Aprobada")&gt;0,AND(Resumen!$B$15="La cursada aprobada",COUNTIFS($F$2:$F$46,O14,$Q$2:$Q$46,"Cursada aprobada")&gt;0))),O14&amp;" ","")&amp;IF(NOT(OR(P14="",COUNTIF($F$2:$F$46,P14)=0,COUNTIFS($F$2:$F$46,P14,$Q$2:$Q$46,"Aprobada")&gt;0,AND(Resumen!$B$15="La cursada aprobada",COUNTIFS($F$2:$F$46,P14,$Q$2:$Q$46,"Cursada aprobada")&gt;0))),P14&amp;" ","")),""))</f>
        <v/>
      </c>
    </row>
    <row r="15" customFormat="false" ht="15" hidden="false" customHeight="false" outlineLevel="0" collapsed="false">
      <c r="A15" s="8" t="s">
        <v>58</v>
      </c>
      <c r="B15" s="8"/>
      <c r="C15" s="9" t="n">
        <v>2</v>
      </c>
      <c r="D15" s="9" t="n">
        <v>2</v>
      </c>
      <c r="E15" s="9" t="s">
        <v>65</v>
      </c>
      <c r="F15" s="9" t="n">
        <v>251</v>
      </c>
      <c r="G15" s="8" t="s">
        <v>181</v>
      </c>
      <c r="H15" s="9" t="s">
        <v>61</v>
      </c>
      <c r="I15" s="9" t="n">
        <v>6</v>
      </c>
      <c r="J15" s="9"/>
      <c r="K15" s="9" t="n">
        <v>96</v>
      </c>
      <c r="L15" s="9" t="n">
        <v>114</v>
      </c>
      <c r="M15" s="9"/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cursada",IF(AND(OR(L15="",COUNTIF($F$2:$F$46,L15)=0,COUNTIFS($F$2:$F$46,L15,$Q$2:$Q$46,"Aprobada")&gt;0,AND(Resumen!$B$15="La cursada aprobada",COUNTIFS($F$2:$F$46,L15,$Q$2:$Q$46,"Cursada aprobada")&gt;0)),OR(M15="",COUNTIF($F$2:$F$46,M15)=0,COUNTIFS($F$2:$F$46,M15,$Q$2:$Q$46,"Aprobada")&gt;0,AND(Resumen!$B$15="La cursada aprobada",COUNTIFS($F$2:$F$46,M15,$Q$2:$Q$46,"Cursada aprobada")&gt;0)),OR(N15="",COUNTIF($F$2:$F$46,N15)=0,COUNTIFS($F$2:$F$46,N15,$Q$2:$Q$46,"Aprobada")&gt;0,AND(Resumen!$B$15="La cursada aprobada",COUNTIFS($F$2:$F$46,N15,$Q$2:$Q$46,"Cursada aprobada")&gt;0)),OR(O15="",COUNTIF($F$2:$F$46,O15)=0,COUNTIFS($F$2:$F$46,O15,$Q$2:$Q$46,"Aprobada")&gt;0,AND(Resumen!$B$15="La cursada aprobada",COUNTIFS($F$2:$F$46,O15,$Q$2:$Q$46,"Cursada aprobada")&gt;0)),OR(P15="",COUNTIF($F$2:$F$46,P15)=0,COUNTIFS($F$2:$F$46,P15,$Q$2:$Q$46,"Aprobada")&gt;0,AND(Resumen!$B$15="La cursada aprobada",COUNTIFS($F$2:$F$46,P15,$Q$2:$Q$46,"Cursada aprobada")&gt;0))),"Sí","No")))</f>
        <v>No</v>
      </c>
      <c r="S15" s="8" t="str">
        <f aca="false">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</f>
        <v>114</v>
      </c>
      <c r="T15" s="9" t="str">
        <f aca="false">IF(Q15="Cursada aprobada",IF(AND(OR(L15="",COUNTIF($F$2:$F$46,L15)=0,COUNTIFS($F$2:$F$46,L15,$Q$2:$Q$46,"Aprobada")&gt;0),OR(M15="",COUNTIF($F$2:$F$46,M15)=0,COUNTIFS($F$2:$F$46,M15,$Q$2:$Q$46,"Aprobada")&gt;0),OR(N15="",COUNTIF($F$2:$F$46,N15)=0,COUNTIFS($F$2:$F$46,N15,$Q$2:$Q$46,"Aprobada")&gt;0),OR(O15="",COUNTIF($F$2:$F$46,O15)=0,COUNTIFS($F$2:$F$46,O15,$Q$2:$Q$46,"Aprobada")&gt;0),OR(P15="",COUNTIF($F$2:$F$46,P15)=0,COUNTIFS($F$2:$F$46,P15,$Q$2:$Q$46,"Aprobada")&gt;0)),"Sí","No"),"")</f>
        <v/>
      </c>
      <c r="U15" s="9" t="str">
        <f aca="false">IF(Q15="Aprobada",TRIM(IF(NOT(OR(L15="",COUNTIF($F$2:$F$46,L15)=0,COUNTIFS($F$2:$F$46,L15,$Q$2:$Q$46,"Aprobada")&gt;0)),L15&amp;" ","")&amp;IF(NOT(OR(M15="",COUNTIF($F$2:$F$46,M15)=0,COUNTIFS($F$2:$F$46,M15,$Q$2:$Q$46,"Aprobada")&gt;0)),M15&amp;" ","")&amp;IF(NOT(OR(N15="",COUNTIF($F$2:$F$46,N15)=0,COUNTIFS($F$2:$F$46,N15,$Q$2:$Q$46,"Aprobada")&gt;0)),N15&amp;" ","")&amp;IF(NOT(OR(O15="",COUNTIF($F$2:$F$46,O15)=0,COUNTIFS($F$2:$F$46,O15,$Q$2:$Q$46,"Aprobada")&gt;0)),O15&amp;" ","")&amp;IF(NOT(OR(P15="",COUNTIF($F$2:$F$46,P15)=0,COUNTIFS($F$2:$F$46,P15,$Q$2:$Q$46,"Aprobada")&gt;0)),P15&amp;" ","")),IF(Q15="Cursada aprobada",TRIM(IF(NOT(OR(L15="",COUNTIF($F$2:$F$46,L15)=0,COUNTIFS($F$2:$F$46,L15,$Q$2:$Q$46,"Aprobada")&gt;0,AND(Resumen!$B$15="La cursada aprobada",COUNTIFS($F$2:$F$46,L15,$Q$2:$Q$46,"Cursada aprobada")&gt;0))),L15&amp;" ","")&amp;IF(NOT(OR(M15="",COUNTIF($F$2:$F$46,M15)=0,COUNTIFS($F$2:$F$46,M15,$Q$2:$Q$46,"Aprobada")&gt;0,AND(Resumen!$B$15="La cursada aprobada",COUNTIFS($F$2:$F$46,M15,$Q$2:$Q$46,"Cursada aprobada")&gt;0))),M15&amp;" ","")&amp;IF(NOT(OR(N15="",COUNTIF($F$2:$F$46,N15)=0,COUNTIFS($F$2:$F$46,N15,$Q$2:$Q$46,"Aprobada")&gt;0,AND(Resumen!$B$15="La cursada aprobada",COUNTIFS($F$2:$F$46,N15,$Q$2:$Q$46,"Cursada aprobada")&gt;0))),N15&amp;" ","")&amp;IF(NOT(OR(O15="",COUNTIF($F$2:$F$46,O15)=0,COUNTIFS($F$2:$F$46,O15,$Q$2:$Q$46,"Aprobada")&gt;0,AND(Resumen!$B$15="La cursada aprobada",COUNTIFS($F$2:$F$46,O15,$Q$2:$Q$46,"Cursada aprobada")&gt;0))),O15&amp;" ","")&amp;IF(NOT(OR(P15="",COUNTIF($F$2:$F$46,P15)=0,COUNTIFS($F$2:$F$46,P15,$Q$2:$Q$46,"Aprobada")&gt;0,AND(Resumen!$B$15="La cursada aprobada",COUNTIFS($F$2:$F$46,P15,$Q$2:$Q$46,"Cursada aprobada")&gt;0))),P15&amp;" ","")),""))</f>
        <v/>
      </c>
    </row>
    <row r="16" customFormat="false" ht="15" hidden="false" customHeight="false" outlineLevel="0" collapsed="false">
      <c r="A16" s="8" t="s">
        <v>58</v>
      </c>
      <c r="B16" s="8"/>
      <c r="C16" s="9" t="n">
        <v>2</v>
      </c>
      <c r="D16" s="9" t="n">
        <v>2</v>
      </c>
      <c r="E16" s="9" t="s">
        <v>67</v>
      </c>
      <c r="F16" s="9" t="n">
        <v>227</v>
      </c>
      <c r="G16" s="8" t="s">
        <v>182</v>
      </c>
      <c r="H16" s="9" t="s">
        <v>61</v>
      </c>
      <c r="I16" s="9" t="n">
        <v>6</v>
      </c>
      <c r="J16" s="9"/>
      <c r="K16" s="9" t="n">
        <v>96</v>
      </c>
      <c r="L16" s="9" t="n">
        <v>104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cursada",IF(AND(OR(L16="",COUNTIF($F$2:$F$46,L16)=0,COUNTIFS($F$2:$F$46,L16,$Q$2:$Q$46,"Aprobada")&gt;0,AND(Resumen!$B$15="La cursada aprobada",COUNTIFS($F$2:$F$46,L16,$Q$2:$Q$46,"Cursada aprobada")&gt;0)),OR(M16="",COUNTIF($F$2:$F$46,M16)=0,COUNTIFS($F$2:$F$46,M16,$Q$2:$Q$46,"Aprobada")&gt;0,AND(Resumen!$B$15="La cursada aprobada",COUNTIFS($F$2:$F$46,M16,$Q$2:$Q$46,"Cursada aprobada")&gt;0)),OR(N16="",COUNTIF($F$2:$F$46,N16)=0,COUNTIFS($F$2:$F$46,N16,$Q$2:$Q$46,"Aprobada")&gt;0,AND(Resumen!$B$15="La cursada aprobada",COUNTIFS($F$2:$F$46,N16,$Q$2:$Q$46,"Cursada aprobada")&gt;0)),OR(O16="",COUNTIF($F$2:$F$46,O16)=0,COUNTIFS($F$2:$F$46,O16,$Q$2:$Q$46,"Aprobada")&gt;0,AND(Resumen!$B$15="La cursada aprobada",COUNTIFS($F$2:$F$46,O16,$Q$2:$Q$46,"Cursada aprobada")&gt;0)),OR(P16="",COUNTIF($F$2:$F$46,P16)=0,COUNTIFS($F$2:$F$46,P16,$Q$2:$Q$46,"Aprobada")&gt;0,AND(Resumen!$B$15="La cursada aprobada",COUNTIFS($F$2:$F$46,P16,$Q$2:$Q$46,"Cursada aprobada")&gt;0))),"Sí","No")))</f>
        <v>No</v>
      </c>
      <c r="S16" s="8" t="str">
        <f aca="false">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</f>
        <v>104</v>
      </c>
      <c r="T16" s="9" t="str">
        <f aca="false">IF(Q16="Cursada aprobada",IF(AND(OR(L16="",COUNTIF($F$2:$F$46,L16)=0,COUNTIFS($F$2:$F$46,L16,$Q$2:$Q$46,"Aprobada")&gt;0),OR(M16="",COUNTIF($F$2:$F$46,M16)=0,COUNTIFS($F$2:$F$46,M16,$Q$2:$Q$46,"Aprobada")&gt;0),OR(N16="",COUNTIF($F$2:$F$46,N16)=0,COUNTIFS($F$2:$F$46,N16,$Q$2:$Q$46,"Aprobada")&gt;0),OR(O16="",COUNTIF($F$2:$F$46,O16)=0,COUNTIFS($F$2:$F$46,O16,$Q$2:$Q$46,"Aprobada")&gt;0),OR(P16="",COUNTIF($F$2:$F$46,P16)=0,COUNTIFS($F$2:$F$46,P16,$Q$2:$Q$46,"Aprobada")&gt;0)),"Sí","No"),"")</f>
        <v/>
      </c>
      <c r="U16" s="9" t="str">
        <f aca="false">IF(Q16="Aprobada",TRIM(IF(NOT(OR(L16="",COUNTIF($F$2:$F$46,L16)=0,COUNTIFS($F$2:$F$46,L16,$Q$2:$Q$46,"Aprobada")&gt;0)),L16&amp;" ","")&amp;IF(NOT(OR(M16="",COUNTIF($F$2:$F$46,M16)=0,COUNTIFS($F$2:$F$46,M16,$Q$2:$Q$46,"Aprobada")&gt;0)),M16&amp;" ","")&amp;IF(NOT(OR(N16="",COUNTIF($F$2:$F$46,N16)=0,COUNTIFS($F$2:$F$46,N16,$Q$2:$Q$46,"Aprobada")&gt;0)),N16&amp;" ","")&amp;IF(NOT(OR(O16="",COUNTIF($F$2:$F$46,O16)=0,COUNTIFS($F$2:$F$46,O16,$Q$2:$Q$46,"Aprobada")&gt;0)),O16&amp;" ","")&amp;IF(NOT(OR(P16="",COUNTIF($F$2:$F$46,P16)=0,COUNTIFS($F$2:$F$46,P16,$Q$2:$Q$46,"Aprobada")&gt;0)),P16&amp;" ","")),IF(Q16="Cursada aprobada",TRIM(IF(NOT(OR(L16="",COUNTIF($F$2:$F$46,L16)=0,COUNTIFS($F$2:$F$46,L16,$Q$2:$Q$46,"Aprobada")&gt;0,AND(Resumen!$B$15="La cursada aprobada",COUNTIFS($F$2:$F$46,L16,$Q$2:$Q$46,"Cursada aprobada")&gt;0))),L16&amp;" ","")&amp;IF(NOT(OR(M16="",COUNTIF($F$2:$F$46,M16)=0,COUNTIFS($F$2:$F$46,M16,$Q$2:$Q$46,"Aprobada")&gt;0,AND(Resumen!$B$15="La cursada aprobada",COUNTIFS($F$2:$F$46,M16,$Q$2:$Q$46,"Cursada aprobada")&gt;0))),M16&amp;" ","")&amp;IF(NOT(OR(N16="",COUNTIF($F$2:$F$46,N16)=0,COUNTIFS($F$2:$F$46,N16,$Q$2:$Q$46,"Aprobada")&gt;0,AND(Resumen!$B$15="La cursada aprobada",COUNTIFS($F$2:$F$46,N16,$Q$2:$Q$46,"Cursada aprobada")&gt;0))),N16&amp;" ","")&amp;IF(NOT(OR(O16="",COUNTIF($F$2:$F$46,O16)=0,COUNTIFS($F$2:$F$46,O16,$Q$2:$Q$46,"Aprobada")&gt;0,AND(Resumen!$B$15="La cursada aprobada",COUNTIFS($F$2:$F$46,O16,$Q$2:$Q$46,"Cursada aprobada")&gt;0))),O16&amp;" ","")&amp;IF(NOT(OR(P16="",COUNTIF($F$2:$F$46,P16)=0,COUNTIFS($F$2:$F$46,P16,$Q$2:$Q$46,"Aprobada")&gt;0,AND(Resumen!$B$15="La cursada aprobada",COUNTIFS($F$2:$F$46,P16,$Q$2:$Q$46,"Cursada aprobada")&gt;0))),P16&amp;" ","")),""))</f>
        <v/>
      </c>
    </row>
    <row r="17" customFormat="false" ht="15" hidden="false" customHeight="false" outlineLevel="0" collapsed="false">
      <c r="A17" s="8" t="s">
        <v>83</v>
      </c>
      <c r="B17" s="8"/>
      <c r="C17" s="9" t="n">
        <v>3</v>
      </c>
      <c r="D17" s="9" t="n">
        <v>1</v>
      </c>
      <c r="E17" s="9" t="s">
        <v>174</v>
      </c>
      <c r="F17" s="9" t="n">
        <v>323</v>
      </c>
      <c r="G17" s="8" t="s">
        <v>183</v>
      </c>
      <c r="H17" s="9" t="s">
        <v>71</v>
      </c>
      <c r="I17" s="9" t="n">
        <v>6</v>
      </c>
      <c r="J17" s="9"/>
      <c r="K17" s="9" t="n">
        <v>96</v>
      </c>
      <c r="L17" s="9" t="n">
        <v>277</v>
      </c>
      <c r="M17" s="9"/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cursada",IF(AND(OR(L17="",COUNTIF($F$2:$F$46,L17)=0,COUNTIFS($F$2:$F$46,L17,$Q$2:$Q$46,"Aprobada")&gt;0,AND(Resumen!$B$15="La cursada aprobada",COUNTIFS($F$2:$F$46,L17,$Q$2:$Q$46,"Cursada aprobada")&gt;0)),OR(M17="",COUNTIF($F$2:$F$46,M17)=0,COUNTIFS($F$2:$F$46,M17,$Q$2:$Q$46,"Aprobada")&gt;0,AND(Resumen!$B$15="La cursada aprobada",COUNTIFS($F$2:$F$46,M17,$Q$2:$Q$46,"Cursada aprobada")&gt;0)),OR(N17="",COUNTIF($F$2:$F$46,N17)=0,COUNTIFS($F$2:$F$46,N17,$Q$2:$Q$46,"Aprobada")&gt;0,AND(Resumen!$B$15="La cursada aprobada",COUNTIFS($F$2:$F$46,N17,$Q$2:$Q$46,"Cursada aprobada")&gt;0)),OR(O17="",COUNTIF($F$2:$F$46,O17)=0,COUNTIFS($F$2:$F$46,O17,$Q$2:$Q$46,"Aprobada")&gt;0,AND(Resumen!$B$15="La cursada aprobada",COUNTIFS($F$2:$F$46,O17,$Q$2:$Q$46,"Cursada aprobada")&gt;0)),OR(P17="",COUNTIF($F$2:$F$46,P17)=0,COUNTIFS($F$2:$F$46,P17,$Q$2:$Q$46,"Aprobada")&gt;0,AND(Resumen!$B$15="La cursada aprobada",COUNTIFS($F$2:$F$46,P17,$Q$2:$Q$46,"Cursada aprobada")&gt;0))),"Sí","No")))</f>
        <v>No</v>
      </c>
      <c r="S17" s="8" t="str">
        <f aca="false">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</f>
        <v>277</v>
      </c>
      <c r="T17" s="9" t="str">
        <f aca="false">IF(Q17="Cursada aprobada",IF(AND(OR(L17="",COUNTIF($F$2:$F$46,L17)=0,COUNTIFS($F$2:$F$46,L17,$Q$2:$Q$46,"Aprobada")&gt;0),OR(M17="",COUNTIF($F$2:$F$46,M17)=0,COUNTIFS($F$2:$F$46,M17,$Q$2:$Q$46,"Aprobada")&gt;0),OR(N17="",COUNTIF($F$2:$F$46,N17)=0,COUNTIFS($F$2:$F$46,N17,$Q$2:$Q$46,"Aprobada")&gt;0),OR(O17="",COUNTIF($F$2:$F$46,O17)=0,COUNTIFS($F$2:$F$46,O17,$Q$2:$Q$46,"Aprobada")&gt;0),OR(P17="",COUNTIF($F$2:$F$46,P17)=0,COUNTIFS($F$2:$F$46,P17,$Q$2:$Q$46,"Aprobada")&gt;0)),"Sí","No"),"")</f>
        <v/>
      </c>
      <c r="U17" s="9" t="str">
        <f aca="false">IF(Q17="Aprobada",TRIM(IF(NOT(OR(L17="",COUNTIF($F$2:$F$46,L17)=0,COUNTIFS($F$2:$F$46,L17,$Q$2:$Q$46,"Aprobada")&gt;0)),L17&amp;" ","")&amp;IF(NOT(OR(M17="",COUNTIF($F$2:$F$46,M17)=0,COUNTIFS($F$2:$F$46,M17,$Q$2:$Q$46,"Aprobada")&gt;0)),M17&amp;" ","")&amp;IF(NOT(OR(N17="",COUNTIF($F$2:$F$46,N17)=0,COUNTIFS($F$2:$F$46,N17,$Q$2:$Q$46,"Aprobada")&gt;0)),N17&amp;" ","")&amp;IF(NOT(OR(O17="",COUNTIF($F$2:$F$46,O17)=0,COUNTIFS($F$2:$F$46,O17,$Q$2:$Q$46,"Aprobada")&gt;0)),O17&amp;" ","")&amp;IF(NOT(OR(P17="",COUNTIF($F$2:$F$46,P17)=0,COUNTIFS($F$2:$F$46,P17,$Q$2:$Q$46,"Aprobada")&gt;0)),P17&amp;" ","")),IF(Q17="Cursada aprobada",TRIM(IF(NOT(OR(L17="",COUNTIF($F$2:$F$46,L17)=0,COUNTIFS($F$2:$F$46,L17,$Q$2:$Q$46,"Aprobada")&gt;0,AND(Resumen!$B$15="La cursada aprobada",COUNTIFS($F$2:$F$46,L17,$Q$2:$Q$46,"Cursada aprobada")&gt;0))),L17&amp;" ","")&amp;IF(NOT(OR(M17="",COUNTIF($F$2:$F$46,M17)=0,COUNTIFS($F$2:$F$46,M17,$Q$2:$Q$46,"Aprobada")&gt;0,AND(Resumen!$B$15="La cursada aprobada",COUNTIFS($F$2:$F$46,M17,$Q$2:$Q$46,"Cursada aprobada")&gt;0))),M17&amp;" ","")&amp;IF(NOT(OR(N17="",COUNTIF($F$2:$F$46,N17)=0,COUNTIFS($F$2:$F$46,N17,$Q$2:$Q$46,"Aprobada")&gt;0,AND(Resumen!$B$15="La cursada aprobada",COUNTIFS($F$2:$F$46,N17,$Q$2:$Q$46,"Cursada aprobada")&gt;0))),N17&amp;" ","")&amp;IF(NOT(OR(O17="",COUNTIF($F$2:$F$46,O17)=0,COUNTIFS($F$2:$F$46,O17,$Q$2:$Q$46,"Aprobada")&gt;0,AND(Resumen!$B$15="La cursada aprobada",COUNTIFS($F$2:$F$46,O17,$Q$2:$Q$46,"Cursada aprobada")&gt;0))),O17&amp;" ","")&amp;IF(NOT(OR(P17="",COUNTIF($F$2:$F$46,P17)=0,COUNTIFS($F$2:$F$46,P17,$Q$2:$Q$46,"Aprobada")&gt;0,AND(Resumen!$B$15="La cursada aprobada",COUNTIFS($F$2:$F$46,P17,$Q$2:$Q$46,"Cursada aprobada")&gt;0))),P17&amp;" ","")),""))</f>
        <v/>
      </c>
    </row>
    <row r="18" customFormat="false" ht="15" hidden="false" customHeight="false" outlineLevel="0" collapsed="false">
      <c r="A18" s="8" t="s">
        <v>83</v>
      </c>
      <c r="B18" s="8"/>
      <c r="C18" s="9" t="n">
        <v>3</v>
      </c>
      <c r="D18" s="9" t="n">
        <v>1</v>
      </c>
      <c r="E18" s="9" t="s">
        <v>59</v>
      </c>
      <c r="F18" s="9" t="n">
        <v>324</v>
      </c>
      <c r="G18" s="8" t="s">
        <v>184</v>
      </c>
      <c r="H18" s="9" t="s">
        <v>61</v>
      </c>
      <c r="I18" s="9" t="n">
        <v>4</v>
      </c>
      <c r="J18" s="9"/>
      <c r="K18" s="9" t="n">
        <v>64</v>
      </c>
      <c r="L18" s="9" t="n">
        <v>101</v>
      </c>
      <c r="M18" s="9"/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cursada",IF(AND(OR(L18="",COUNTIF($F$2:$F$46,L18)=0,COUNTIFS($F$2:$F$46,L18,$Q$2:$Q$46,"Aprobada")&gt;0,AND(Resumen!$B$15="La cursada aprobada",COUNTIFS($F$2:$F$46,L18,$Q$2:$Q$46,"Cursada aprobada")&gt;0)),OR(M18="",COUNTIF($F$2:$F$46,M18)=0,COUNTIFS($F$2:$F$46,M18,$Q$2:$Q$46,"Aprobada")&gt;0,AND(Resumen!$B$15="La cursada aprobada",COUNTIFS($F$2:$F$46,M18,$Q$2:$Q$46,"Cursada aprobada")&gt;0)),OR(N18="",COUNTIF($F$2:$F$46,N18)=0,COUNTIFS($F$2:$F$46,N18,$Q$2:$Q$46,"Aprobada")&gt;0,AND(Resumen!$B$15="La cursada aprobada",COUNTIFS($F$2:$F$46,N18,$Q$2:$Q$46,"Cursada aprobada")&gt;0)),OR(O18="",COUNTIF($F$2:$F$46,O18)=0,COUNTIFS($F$2:$F$46,O18,$Q$2:$Q$46,"Aprobada")&gt;0,AND(Resumen!$B$15="La cursada aprobada",COUNTIFS($F$2:$F$46,O18,$Q$2:$Q$46,"Cursada aprobada")&gt;0)),OR(P18="",COUNTIF($F$2:$F$46,P18)=0,COUNTIFS($F$2:$F$46,P18,$Q$2:$Q$46,"Aprobada")&gt;0,AND(Resumen!$B$15="La cursada aprobada",COUNTIFS($F$2:$F$46,P18,$Q$2:$Q$46,"Cursada aprobada")&gt;0))),"Sí","No")))</f>
        <v>No</v>
      </c>
      <c r="S18" s="8" t="str">
        <f aca="false">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</f>
        <v>101</v>
      </c>
      <c r="T18" s="9" t="str">
        <f aca="false">IF(Q18="Cursada aprobada",IF(AND(OR(L18="",COUNTIF($F$2:$F$46,L18)=0,COUNTIFS($F$2:$F$46,L18,$Q$2:$Q$46,"Aprobada")&gt;0),OR(M18="",COUNTIF($F$2:$F$46,M18)=0,COUNTIFS($F$2:$F$46,M18,$Q$2:$Q$46,"Aprobada")&gt;0),OR(N18="",COUNTIF($F$2:$F$46,N18)=0,COUNTIFS($F$2:$F$46,N18,$Q$2:$Q$46,"Aprobada")&gt;0),OR(O18="",COUNTIF($F$2:$F$46,O18)=0,COUNTIFS($F$2:$F$46,O18,$Q$2:$Q$46,"Aprobada")&gt;0),OR(P18="",COUNTIF($F$2:$F$46,P18)=0,COUNTIFS($F$2:$F$46,P18,$Q$2:$Q$46,"Aprobada")&gt;0)),"Sí","No"),"")</f>
        <v/>
      </c>
      <c r="U18" s="9" t="str">
        <f aca="false">IF(Q18="Aprobada",TRIM(IF(NOT(OR(L18="",COUNTIF($F$2:$F$46,L18)=0,COUNTIFS($F$2:$F$46,L18,$Q$2:$Q$46,"Aprobada")&gt;0)),L18&amp;" ","")&amp;IF(NOT(OR(M18="",COUNTIF($F$2:$F$46,M18)=0,COUNTIFS($F$2:$F$46,M18,$Q$2:$Q$46,"Aprobada")&gt;0)),M18&amp;" ","")&amp;IF(NOT(OR(N18="",COUNTIF($F$2:$F$46,N18)=0,COUNTIFS($F$2:$F$46,N18,$Q$2:$Q$46,"Aprobada")&gt;0)),N18&amp;" ","")&amp;IF(NOT(OR(O18="",COUNTIF($F$2:$F$46,O18)=0,COUNTIFS($F$2:$F$46,O18,$Q$2:$Q$46,"Aprobada")&gt;0)),O18&amp;" ","")&amp;IF(NOT(OR(P18="",COUNTIF($F$2:$F$46,P18)=0,COUNTIFS($F$2:$F$46,P18,$Q$2:$Q$46,"Aprobada")&gt;0)),P18&amp;" ","")),IF(Q18="Cursada aprobada",TRIM(IF(NOT(OR(L18="",COUNTIF($F$2:$F$46,L18)=0,COUNTIFS($F$2:$F$46,L18,$Q$2:$Q$46,"Aprobada")&gt;0,AND(Resumen!$B$15="La cursada aprobada",COUNTIFS($F$2:$F$46,L18,$Q$2:$Q$46,"Cursada aprobada")&gt;0))),L18&amp;" ","")&amp;IF(NOT(OR(M18="",COUNTIF($F$2:$F$46,M18)=0,COUNTIFS($F$2:$F$46,M18,$Q$2:$Q$46,"Aprobada")&gt;0,AND(Resumen!$B$15="La cursada aprobada",COUNTIFS($F$2:$F$46,M18,$Q$2:$Q$46,"Cursada aprobada")&gt;0))),M18&amp;" ","")&amp;IF(NOT(OR(N18="",COUNTIF($F$2:$F$46,N18)=0,COUNTIFS($F$2:$F$46,N18,$Q$2:$Q$46,"Aprobada")&gt;0,AND(Resumen!$B$15="La cursada aprobada",COUNTIFS($F$2:$F$46,N18,$Q$2:$Q$46,"Cursada aprobada")&gt;0))),N18&amp;" ","")&amp;IF(NOT(OR(O18="",COUNTIF($F$2:$F$46,O18)=0,COUNTIFS($F$2:$F$46,O18,$Q$2:$Q$46,"Aprobada")&gt;0,AND(Resumen!$B$15="La cursada aprobada",COUNTIFS($F$2:$F$46,O18,$Q$2:$Q$46,"Cursada aprobada")&gt;0))),O18&amp;" ","")&amp;IF(NOT(OR(P18="",COUNTIF($F$2:$F$46,P18)=0,COUNTIFS($F$2:$F$46,P18,$Q$2:$Q$46,"Aprobada")&gt;0,AND(Resumen!$B$15="La cursada aprobada",COUNTIFS($F$2:$F$46,P18,$Q$2:$Q$46,"Cursada aprobada")&gt;0))),P18&amp;" ","")),""))</f>
        <v/>
      </c>
    </row>
    <row r="19" customFormat="false" ht="15" hidden="false" customHeight="false" outlineLevel="0" collapsed="false">
      <c r="A19" s="8" t="s">
        <v>83</v>
      </c>
      <c r="B19" s="8"/>
      <c r="C19" s="9" t="n">
        <v>3</v>
      </c>
      <c r="D19" s="9" t="n">
        <v>1</v>
      </c>
      <c r="E19" s="9" t="s">
        <v>174</v>
      </c>
      <c r="F19" s="9" t="n">
        <v>112</v>
      </c>
      <c r="G19" s="8" t="s">
        <v>185</v>
      </c>
      <c r="H19" s="9" t="s">
        <v>71</v>
      </c>
      <c r="I19" s="9" t="n">
        <v>4</v>
      </c>
      <c r="J19" s="9"/>
      <c r="K19" s="9" t="n">
        <v>64</v>
      </c>
      <c r="L19" s="9"/>
      <c r="M19" s="9"/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cursada",IF(AND(OR(L19="",COUNTIF($F$2:$F$46,L19)=0,COUNTIFS($F$2:$F$46,L19,$Q$2:$Q$46,"Aprobada")&gt;0,AND(Resumen!$B$15="La cursada aprobada",COUNTIFS($F$2:$F$46,L19,$Q$2:$Q$46,"Cursada aprobada")&gt;0)),OR(M19="",COUNTIF($F$2:$F$46,M19)=0,COUNTIFS($F$2:$F$46,M19,$Q$2:$Q$46,"Aprobada")&gt;0,AND(Resumen!$B$15="La cursada aprobada",COUNTIFS($F$2:$F$46,M19,$Q$2:$Q$46,"Cursada aprobada")&gt;0)),OR(N19="",COUNTIF($F$2:$F$46,N19)=0,COUNTIFS($F$2:$F$46,N19,$Q$2:$Q$46,"Aprobada")&gt;0,AND(Resumen!$B$15="La cursada aprobada",COUNTIFS($F$2:$F$46,N19,$Q$2:$Q$46,"Cursada aprobada")&gt;0)),OR(O19="",COUNTIF($F$2:$F$46,O19)=0,COUNTIFS($F$2:$F$46,O19,$Q$2:$Q$46,"Aprobada")&gt;0,AND(Resumen!$B$15="La cursada aprobada",COUNTIFS($F$2:$F$46,O19,$Q$2:$Q$46,"Cursada aprobada")&gt;0)),OR(P19="",COUNTIF($F$2:$F$46,P19)=0,COUNTIFS($F$2:$F$46,P19,$Q$2:$Q$46,"Aprobada")&gt;0,AND(Resumen!$B$15="La cursada aprobada",COUNTIFS($F$2:$F$46,P19,$Q$2:$Q$46,"Cursada aprobada")&gt;0))),"Sí","No")))</f>
        <v>Sí</v>
      </c>
      <c r="S19" s="8" t="str">
        <f aca="false">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</f>
        <v/>
      </c>
      <c r="T19" s="9" t="str">
        <f aca="false">IF(Q19="Cursada aprobada",IF(AND(OR(L19="",COUNTIF($F$2:$F$46,L19)=0,COUNTIFS($F$2:$F$46,L19,$Q$2:$Q$46,"Aprobada")&gt;0),OR(M19="",COUNTIF($F$2:$F$46,M19)=0,COUNTIFS($F$2:$F$46,M19,$Q$2:$Q$46,"Aprobada")&gt;0),OR(N19="",COUNTIF($F$2:$F$46,N19)=0,COUNTIFS($F$2:$F$46,N19,$Q$2:$Q$46,"Aprobada")&gt;0),OR(O19="",COUNTIF($F$2:$F$46,O19)=0,COUNTIFS($F$2:$F$46,O19,$Q$2:$Q$46,"Aprobada")&gt;0),OR(P19="",COUNTIF($F$2:$F$46,P19)=0,COUNTIFS($F$2:$F$46,P19,$Q$2:$Q$46,"Aprobada")&gt;0)),"Sí","No"),"")</f>
        <v/>
      </c>
      <c r="U19" s="9" t="str">
        <f aca="false">IF(Q19="Aprobada",TRIM(IF(NOT(OR(L19="",COUNTIF($F$2:$F$46,L19)=0,COUNTIFS($F$2:$F$46,L19,$Q$2:$Q$46,"Aprobada")&gt;0)),L19&amp;" ","")&amp;IF(NOT(OR(M19="",COUNTIF($F$2:$F$46,M19)=0,COUNTIFS($F$2:$F$46,M19,$Q$2:$Q$46,"Aprobada")&gt;0)),M19&amp;" ","")&amp;IF(NOT(OR(N19="",COUNTIF($F$2:$F$46,N19)=0,COUNTIFS($F$2:$F$46,N19,$Q$2:$Q$46,"Aprobada")&gt;0)),N19&amp;" ","")&amp;IF(NOT(OR(O19="",COUNTIF($F$2:$F$46,O19)=0,COUNTIFS($F$2:$F$46,O19,$Q$2:$Q$46,"Aprobada")&gt;0)),O19&amp;" ","")&amp;IF(NOT(OR(P19="",COUNTIF($F$2:$F$46,P19)=0,COUNTIFS($F$2:$F$46,P19,$Q$2:$Q$46,"Aprobada")&gt;0)),P19&amp;" ","")),IF(Q19="Cursada aprobada",TRIM(IF(NOT(OR(L19="",COUNTIF($F$2:$F$46,L19)=0,COUNTIFS($F$2:$F$46,L19,$Q$2:$Q$46,"Aprobada")&gt;0,AND(Resumen!$B$15="La cursada aprobada",COUNTIFS($F$2:$F$46,L19,$Q$2:$Q$46,"Cursada aprobada")&gt;0))),L19&amp;" ","")&amp;IF(NOT(OR(M19="",COUNTIF($F$2:$F$46,M19)=0,COUNTIFS($F$2:$F$46,M19,$Q$2:$Q$46,"Aprobada")&gt;0,AND(Resumen!$B$15="La cursada aprobada",COUNTIFS($F$2:$F$46,M19,$Q$2:$Q$46,"Cursada aprobada")&gt;0))),M19&amp;" ","")&amp;IF(NOT(OR(N19="",COUNTIF($F$2:$F$46,N19)=0,COUNTIFS($F$2:$F$46,N19,$Q$2:$Q$46,"Aprobada")&gt;0,AND(Resumen!$B$15="La cursada aprobada",COUNTIFS($F$2:$F$46,N19,$Q$2:$Q$46,"Cursada aprobada")&gt;0))),N19&amp;" ","")&amp;IF(NOT(OR(O19="",COUNTIF($F$2:$F$46,O19)=0,COUNTIFS($F$2:$F$46,O19,$Q$2:$Q$46,"Aprobada")&gt;0,AND(Resumen!$B$15="La cursada aprobada",COUNTIFS($F$2:$F$46,O19,$Q$2:$Q$46,"Cursada aprobada")&gt;0))),O19&amp;" ","")&amp;IF(NOT(OR(P19="",COUNTIF($F$2:$F$46,P19)=0,COUNTIFS($F$2:$F$46,P19,$Q$2:$Q$46,"Aprobada")&gt;0,AND(Resumen!$B$15="La cursada aprobada",COUNTIFS($F$2:$F$46,P19,$Q$2:$Q$46,"Cursada aprobada")&gt;0))),P19&amp;" ","")),""))</f>
        <v/>
      </c>
    </row>
    <row r="20" customFormat="false" ht="15" hidden="false" customHeight="false" outlineLevel="0" collapsed="false">
      <c r="A20" s="8" t="s">
        <v>83</v>
      </c>
      <c r="B20" s="8"/>
      <c r="C20" s="9" t="n">
        <v>3</v>
      </c>
      <c r="D20" s="9" t="n">
        <v>1</v>
      </c>
      <c r="E20" s="9" t="s">
        <v>69</v>
      </c>
      <c r="F20" s="9" t="n">
        <v>356</v>
      </c>
      <c r="G20" s="8" t="s">
        <v>153</v>
      </c>
      <c r="H20" s="9" t="s">
        <v>92</v>
      </c>
      <c r="I20" s="9" t="n">
        <v>4</v>
      </c>
      <c r="J20" s="9"/>
      <c r="K20" s="9" t="n">
        <v>64</v>
      </c>
      <c r="L20" s="9"/>
      <c r="M20" s="9"/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cursada",IF(AND(OR(L20="",COUNTIF($F$2:$F$46,L20)=0,COUNTIFS($F$2:$F$46,L20,$Q$2:$Q$46,"Aprobada")&gt;0,AND(Resumen!$B$15="La cursada aprobada",COUNTIFS($F$2:$F$46,L20,$Q$2:$Q$46,"Cursada aprobada")&gt;0)),OR(M20="",COUNTIF($F$2:$F$46,M20)=0,COUNTIFS($F$2:$F$46,M20,$Q$2:$Q$46,"Aprobada")&gt;0,AND(Resumen!$B$15="La cursada aprobada",COUNTIFS($F$2:$F$46,M20,$Q$2:$Q$46,"Cursada aprobada")&gt;0)),OR(N20="",COUNTIF($F$2:$F$46,N20)=0,COUNTIFS($F$2:$F$46,N20,$Q$2:$Q$46,"Aprobada")&gt;0,AND(Resumen!$B$15="La cursada aprobada",COUNTIFS($F$2:$F$46,N20,$Q$2:$Q$46,"Cursada aprobada")&gt;0)),OR(O20="",COUNTIF($F$2:$F$46,O20)=0,COUNTIFS($F$2:$F$46,O20,$Q$2:$Q$46,"Aprobada")&gt;0,AND(Resumen!$B$15="La cursada aprobada",COUNTIFS($F$2:$F$46,O20,$Q$2:$Q$46,"Cursada aprobada")&gt;0)),OR(P20="",COUNTIF($F$2:$F$46,P20)=0,COUNTIFS($F$2:$F$46,P20,$Q$2:$Q$46,"Aprobada")&gt;0,AND(Resumen!$B$15="La cursada aprobada",COUNTIFS($F$2:$F$46,P20,$Q$2:$Q$46,"Cursada aprobada")&gt;0))),"Sí","No")))</f>
        <v>Sí</v>
      </c>
      <c r="S20" s="8" t="str">
        <f aca="false">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</f>
        <v/>
      </c>
      <c r="T20" s="9" t="str">
        <f aca="false">IF(Q20="Cursada aprobada",IF(AND(OR(L20="",COUNTIF($F$2:$F$46,L20)=0,COUNTIFS($F$2:$F$46,L20,$Q$2:$Q$46,"Aprobada")&gt;0),OR(M20="",COUNTIF($F$2:$F$46,M20)=0,COUNTIFS($F$2:$F$46,M20,$Q$2:$Q$46,"Aprobada")&gt;0),OR(N20="",COUNTIF($F$2:$F$46,N20)=0,COUNTIFS($F$2:$F$46,N20,$Q$2:$Q$46,"Aprobada")&gt;0),OR(O20="",COUNTIF($F$2:$F$46,O20)=0,COUNTIFS($F$2:$F$46,O20,$Q$2:$Q$46,"Aprobada")&gt;0),OR(P20="",COUNTIF($F$2:$F$46,P20)=0,COUNTIFS($F$2:$F$46,P20,$Q$2:$Q$46,"Aprobada")&gt;0)),"Sí","No"),"")</f>
        <v/>
      </c>
      <c r="U20" s="9" t="str">
        <f aca="false">IF(Q20="Aprobada",TRIM(IF(NOT(OR(L20="",COUNTIF($F$2:$F$46,L20)=0,COUNTIFS($F$2:$F$46,L20,$Q$2:$Q$46,"Aprobada")&gt;0)),L20&amp;" ","")&amp;IF(NOT(OR(M20="",COUNTIF($F$2:$F$46,M20)=0,COUNTIFS($F$2:$F$46,M20,$Q$2:$Q$46,"Aprobada")&gt;0)),M20&amp;" ","")&amp;IF(NOT(OR(N20="",COUNTIF($F$2:$F$46,N20)=0,COUNTIFS($F$2:$F$46,N20,$Q$2:$Q$46,"Aprobada")&gt;0)),N20&amp;" ","")&amp;IF(NOT(OR(O20="",COUNTIF($F$2:$F$46,O20)=0,COUNTIFS($F$2:$F$46,O20,$Q$2:$Q$46,"Aprobada")&gt;0)),O20&amp;" ","")&amp;IF(NOT(OR(P20="",COUNTIF($F$2:$F$46,P20)=0,COUNTIFS($F$2:$F$46,P20,$Q$2:$Q$46,"Aprobada")&gt;0)),P20&amp;" ","")),IF(Q20="Cursada aprobada",TRIM(IF(NOT(OR(L20="",COUNTIF($F$2:$F$46,L20)=0,COUNTIFS($F$2:$F$46,L20,$Q$2:$Q$46,"Aprobada")&gt;0,AND(Resumen!$B$15="La cursada aprobada",COUNTIFS($F$2:$F$46,L20,$Q$2:$Q$46,"Cursada aprobada")&gt;0))),L20&amp;" ","")&amp;IF(NOT(OR(M20="",COUNTIF($F$2:$F$46,M20)=0,COUNTIFS($F$2:$F$46,M20,$Q$2:$Q$46,"Aprobada")&gt;0,AND(Resumen!$B$15="La cursada aprobada",COUNTIFS($F$2:$F$46,M20,$Q$2:$Q$46,"Cursada aprobada")&gt;0))),M20&amp;" ","")&amp;IF(NOT(OR(N20="",COUNTIF($F$2:$F$46,N20)=0,COUNTIFS($F$2:$F$46,N20,$Q$2:$Q$46,"Aprobada")&gt;0,AND(Resumen!$B$15="La cursada aprobada",COUNTIFS($F$2:$F$46,N20,$Q$2:$Q$46,"Cursada aprobada")&gt;0))),N20&amp;" ","")&amp;IF(NOT(OR(O20="",COUNTIF($F$2:$F$46,O20)=0,COUNTIFS($F$2:$F$46,O20,$Q$2:$Q$46,"Aprobada")&gt;0,AND(Resumen!$B$15="La cursada aprobada",COUNTIFS($F$2:$F$46,O20,$Q$2:$Q$46,"Cursada aprobada")&gt;0))),O20&amp;" ","")&amp;IF(NOT(OR(P20="",COUNTIF($F$2:$F$46,P20)=0,COUNTIFS($F$2:$F$46,P20,$Q$2:$Q$46,"Aprobada")&gt;0,AND(Resumen!$B$15="La cursada aprobada",COUNTIFS($F$2:$F$46,P20,$Q$2:$Q$46,"Cursada aprobada")&gt;0))),P20&amp;" ","")),""))</f>
        <v/>
      </c>
    </row>
    <row r="21" customFormat="false" ht="15" hidden="false" customHeight="false" outlineLevel="0" collapsed="false">
      <c r="A21" s="8" t="s">
        <v>83</v>
      </c>
      <c r="B21" s="8"/>
      <c r="C21" s="9" t="n">
        <v>3</v>
      </c>
      <c r="D21" s="9" t="n">
        <v>2</v>
      </c>
      <c r="E21" s="9" t="s">
        <v>174</v>
      </c>
      <c r="F21" s="9" t="n">
        <v>113</v>
      </c>
      <c r="G21" s="8" t="s">
        <v>186</v>
      </c>
      <c r="H21" s="9" t="s">
        <v>61</v>
      </c>
      <c r="I21" s="9" t="n">
        <v>6</v>
      </c>
      <c r="J21" s="9"/>
      <c r="K21" s="9" t="n">
        <v>96</v>
      </c>
      <c r="L21" s="9" t="n">
        <v>161</v>
      </c>
      <c r="M21" s="9"/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cursada",IF(AND(OR(L21="",COUNTIF($F$2:$F$46,L21)=0,COUNTIFS($F$2:$F$46,L21,$Q$2:$Q$46,"Aprobada")&gt;0,AND(Resumen!$B$15="La cursada aprobada",COUNTIFS($F$2:$F$46,L21,$Q$2:$Q$46,"Cursada aprobada")&gt;0)),OR(M21="",COUNTIF($F$2:$F$46,M21)=0,COUNTIFS($F$2:$F$46,M21,$Q$2:$Q$46,"Aprobada")&gt;0,AND(Resumen!$B$15="La cursada aprobada",COUNTIFS($F$2:$F$46,M21,$Q$2:$Q$46,"Cursada aprobada")&gt;0)),OR(N21="",COUNTIF($F$2:$F$46,N21)=0,COUNTIFS($F$2:$F$46,N21,$Q$2:$Q$46,"Aprobada")&gt;0,AND(Resumen!$B$15="La cursada aprobada",COUNTIFS($F$2:$F$46,N21,$Q$2:$Q$46,"Cursada aprobada")&gt;0)),OR(O21="",COUNTIF($F$2:$F$46,O21)=0,COUNTIFS($F$2:$F$46,O21,$Q$2:$Q$46,"Aprobada")&gt;0,AND(Resumen!$B$15="La cursada aprobada",COUNTIFS($F$2:$F$46,O21,$Q$2:$Q$46,"Cursada aprobada")&gt;0)),OR(P21="",COUNTIF($F$2:$F$46,P21)=0,COUNTIFS($F$2:$F$46,P21,$Q$2:$Q$46,"Aprobada")&gt;0,AND(Resumen!$B$15="La cursada aprobada",COUNTIFS($F$2:$F$46,P21,$Q$2:$Q$46,"Cursada aprobada")&gt;0))),"Sí","No")))</f>
        <v>No</v>
      </c>
      <c r="S21" s="8" t="str">
        <f aca="false">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</f>
        <v>161</v>
      </c>
      <c r="T21" s="9" t="str">
        <f aca="false">IF(Q21="Cursada aprobada",IF(AND(OR(L21="",COUNTIF($F$2:$F$46,L21)=0,COUNTIFS($F$2:$F$46,L21,$Q$2:$Q$46,"Aprobada")&gt;0),OR(M21="",COUNTIF($F$2:$F$46,M21)=0,COUNTIFS($F$2:$F$46,M21,$Q$2:$Q$46,"Aprobada")&gt;0),OR(N21="",COUNTIF($F$2:$F$46,N21)=0,COUNTIFS($F$2:$F$46,N21,$Q$2:$Q$46,"Aprobada")&gt;0),OR(O21="",COUNTIF($F$2:$F$46,O21)=0,COUNTIFS($F$2:$F$46,O21,$Q$2:$Q$46,"Aprobada")&gt;0),OR(P21="",COUNTIF($F$2:$F$46,P21)=0,COUNTIFS($F$2:$F$46,P21,$Q$2:$Q$46,"Aprobada")&gt;0)),"Sí","No"),"")</f>
        <v/>
      </c>
      <c r="U21" s="9" t="str">
        <f aca="false">IF(Q21="Aprobada",TRIM(IF(NOT(OR(L21="",COUNTIF($F$2:$F$46,L21)=0,COUNTIFS($F$2:$F$46,L21,$Q$2:$Q$46,"Aprobada")&gt;0)),L21&amp;" ","")&amp;IF(NOT(OR(M21="",COUNTIF($F$2:$F$46,M21)=0,COUNTIFS($F$2:$F$46,M21,$Q$2:$Q$46,"Aprobada")&gt;0)),M21&amp;" ","")&amp;IF(NOT(OR(N21="",COUNTIF($F$2:$F$46,N21)=0,COUNTIFS($F$2:$F$46,N21,$Q$2:$Q$46,"Aprobada")&gt;0)),N21&amp;" ","")&amp;IF(NOT(OR(O21="",COUNTIF($F$2:$F$46,O21)=0,COUNTIFS($F$2:$F$46,O21,$Q$2:$Q$46,"Aprobada")&gt;0)),O21&amp;" ","")&amp;IF(NOT(OR(P21="",COUNTIF($F$2:$F$46,P21)=0,COUNTIFS($F$2:$F$46,P21,$Q$2:$Q$46,"Aprobada")&gt;0)),P21&amp;" ","")),IF(Q21="Cursada aprobada",TRIM(IF(NOT(OR(L21="",COUNTIF($F$2:$F$46,L21)=0,COUNTIFS($F$2:$F$46,L21,$Q$2:$Q$46,"Aprobada")&gt;0,AND(Resumen!$B$15="La cursada aprobada",COUNTIFS($F$2:$F$46,L21,$Q$2:$Q$46,"Cursada aprobada")&gt;0))),L21&amp;" ","")&amp;IF(NOT(OR(M21="",COUNTIF($F$2:$F$46,M21)=0,COUNTIFS($F$2:$F$46,M21,$Q$2:$Q$46,"Aprobada")&gt;0,AND(Resumen!$B$15="La cursada aprobada",COUNTIFS($F$2:$F$46,M21,$Q$2:$Q$46,"Cursada aprobada")&gt;0))),M21&amp;" ","")&amp;IF(NOT(OR(N21="",COUNTIF($F$2:$F$46,N21)=0,COUNTIFS($F$2:$F$46,N21,$Q$2:$Q$46,"Aprobada")&gt;0,AND(Resumen!$B$15="La cursada aprobada",COUNTIFS($F$2:$F$46,N21,$Q$2:$Q$46,"Cursada aprobada")&gt;0))),N21&amp;" ","")&amp;IF(NOT(OR(O21="",COUNTIF($F$2:$F$46,O21)=0,COUNTIFS($F$2:$F$46,O21,$Q$2:$Q$46,"Aprobada")&gt;0,AND(Resumen!$B$15="La cursada aprobada",COUNTIFS($F$2:$F$46,O21,$Q$2:$Q$46,"Cursada aprobada")&gt;0))),O21&amp;" ","")&amp;IF(NOT(OR(P21="",COUNTIF($F$2:$F$46,P21)=0,COUNTIFS($F$2:$F$46,P21,$Q$2:$Q$46,"Aprobada")&gt;0,AND(Resumen!$B$15="La cursada aprobada",COUNTIFS($F$2:$F$46,P21,$Q$2:$Q$46,"Cursada aprobada")&gt;0))),P21&amp;" ","")),""))</f>
        <v/>
      </c>
    </row>
    <row r="22" customFormat="false" ht="15" hidden="false" customHeight="false" outlineLevel="0" collapsed="false">
      <c r="A22" s="8" t="s">
        <v>83</v>
      </c>
      <c r="B22" s="8"/>
      <c r="C22" s="9" t="n">
        <v>3</v>
      </c>
      <c r="D22" s="9" t="n">
        <v>2</v>
      </c>
      <c r="E22" s="9" t="s">
        <v>174</v>
      </c>
      <c r="F22" s="9" t="n">
        <v>325</v>
      </c>
      <c r="G22" s="8" t="s">
        <v>187</v>
      </c>
      <c r="H22" s="9" t="s">
        <v>71</v>
      </c>
      <c r="I22" s="9" t="n">
        <v>4</v>
      </c>
      <c r="J22" s="9"/>
      <c r="K22" s="9" t="n">
        <v>64</v>
      </c>
      <c r="L22" s="9" t="n">
        <v>308</v>
      </c>
      <c r="M22" s="9"/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cursada",IF(AND(OR(L22="",COUNTIF($F$2:$F$46,L22)=0,COUNTIFS($F$2:$F$46,L22,$Q$2:$Q$46,"Aprobada")&gt;0,AND(Resumen!$B$15="La cursada aprobada",COUNTIFS($F$2:$F$46,L22,$Q$2:$Q$46,"Cursada aprobada")&gt;0)),OR(M22="",COUNTIF($F$2:$F$46,M22)=0,COUNTIFS($F$2:$F$46,M22,$Q$2:$Q$46,"Aprobada")&gt;0,AND(Resumen!$B$15="La cursada aprobada",COUNTIFS($F$2:$F$46,M22,$Q$2:$Q$46,"Cursada aprobada")&gt;0)),OR(N22="",COUNTIF($F$2:$F$46,N22)=0,COUNTIFS($F$2:$F$46,N22,$Q$2:$Q$46,"Aprobada")&gt;0,AND(Resumen!$B$15="La cursada aprobada",COUNTIFS($F$2:$F$46,N22,$Q$2:$Q$46,"Cursada aprobada")&gt;0)),OR(O22="",COUNTIF($F$2:$F$46,O22)=0,COUNTIFS($F$2:$F$46,O22,$Q$2:$Q$46,"Aprobada")&gt;0,AND(Resumen!$B$15="La cursada aprobada",COUNTIFS($F$2:$F$46,O22,$Q$2:$Q$46,"Cursada aprobada")&gt;0)),OR(P22="",COUNTIF($F$2:$F$46,P22)=0,COUNTIFS($F$2:$F$46,P22,$Q$2:$Q$46,"Aprobada")&gt;0,AND(Resumen!$B$15="La cursada aprobada",COUNTIFS($F$2:$F$46,P22,$Q$2:$Q$46,"Cursada aprobada")&gt;0))),"Sí","No")))</f>
        <v>No</v>
      </c>
      <c r="S22" s="8" t="str">
        <f aca="false">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</f>
        <v>308</v>
      </c>
      <c r="T22" s="9" t="str">
        <f aca="false">IF(Q22="Cursada aprobada",IF(AND(OR(L22="",COUNTIF($F$2:$F$46,L22)=0,COUNTIFS($F$2:$F$46,L22,$Q$2:$Q$46,"Aprobada")&gt;0),OR(M22="",COUNTIF($F$2:$F$46,M22)=0,COUNTIFS($F$2:$F$46,M22,$Q$2:$Q$46,"Aprobada")&gt;0),OR(N22="",COUNTIF($F$2:$F$46,N22)=0,COUNTIFS($F$2:$F$46,N22,$Q$2:$Q$46,"Aprobada")&gt;0),OR(O22="",COUNTIF($F$2:$F$46,O22)=0,COUNTIFS($F$2:$F$46,O22,$Q$2:$Q$46,"Aprobada")&gt;0),OR(P22="",COUNTIF($F$2:$F$46,P22)=0,COUNTIFS($F$2:$F$46,P22,$Q$2:$Q$46,"Aprobada")&gt;0)),"Sí","No"),"")</f>
        <v/>
      </c>
      <c r="U22" s="9" t="str">
        <f aca="false">IF(Q22="Aprobada",TRIM(IF(NOT(OR(L22="",COUNTIF($F$2:$F$46,L22)=0,COUNTIFS($F$2:$F$46,L22,$Q$2:$Q$46,"Aprobada")&gt;0)),L22&amp;" ","")&amp;IF(NOT(OR(M22="",COUNTIF($F$2:$F$46,M22)=0,COUNTIFS($F$2:$F$46,M22,$Q$2:$Q$46,"Aprobada")&gt;0)),M22&amp;" ","")&amp;IF(NOT(OR(N22="",COUNTIF($F$2:$F$46,N22)=0,COUNTIFS($F$2:$F$46,N22,$Q$2:$Q$46,"Aprobada")&gt;0)),N22&amp;" ","")&amp;IF(NOT(OR(O22="",COUNTIF($F$2:$F$46,O22)=0,COUNTIFS($F$2:$F$46,O22,$Q$2:$Q$46,"Aprobada")&gt;0)),O22&amp;" ","")&amp;IF(NOT(OR(P22="",COUNTIF($F$2:$F$46,P22)=0,COUNTIFS($F$2:$F$46,P22,$Q$2:$Q$46,"Aprobada")&gt;0)),P22&amp;" ","")),IF(Q22="Cursada aprobada",TRIM(IF(NOT(OR(L22="",COUNTIF($F$2:$F$46,L22)=0,COUNTIFS($F$2:$F$46,L22,$Q$2:$Q$46,"Aprobada")&gt;0,AND(Resumen!$B$15="La cursada aprobada",COUNTIFS($F$2:$F$46,L22,$Q$2:$Q$46,"Cursada aprobada")&gt;0))),L22&amp;" ","")&amp;IF(NOT(OR(M22="",COUNTIF($F$2:$F$46,M22)=0,COUNTIFS($F$2:$F$46,M22,$Q$2:$Q$46,"Aprobada")&gt;0,AND(Resumen!$B$15="La cursada aprobada",COUNTIFS($F$2:$F$46,M22,$Q$2:$Q$46,"Cursada aprobada")&gt;0))),M22&amp;" ","")&amp;IF(NOT(OR(N22="",COUNTIF($F$2:$F$46,N22)=0,COUNTIFS($F$2:$F$46,N22,$Q$2:$Q$46,"Aprobada")&gt;0,AND(Resumen!$B$15="La cursada aprobada",COUNTIFS($F$2:$F$46,N22,$Q$2:$Q$46,"Cursada aprobada")&gt;0))),N22&amp;" ","")&amp;IF(NOT(OR(O22="",COUNTIF($F$2:$F$46,O22)=0,COUNTIFS($F$2:$F$46,O22,$Q$2:$Q$46,"Aprobada")&gt;0,AND(Resumen!$B$15="La cursada aprobada",COUNTIFS($F$2:$F$46,O22,$Q$2:$Q$46,"Cursada aprobada")&gt;0))),O22&amp;" ","")&amp;IF(NOT(OR(P22="",COUNTIF($F$2:$F$46,P22)=0,COUNTIFS($F$2:$F$46,P22,$Q$2:$Q$46,"Aprobada")&gt;0,AND(Resumen!$B$15="La cursada aprobada",COUNTIFS($F$2:$F$46,P22,$Q$2:$Q$46,"Cursada aprobada")&gt;0))),P22&amp;" ","")),""))</f>
        <v/>
      </c>
    </row>
    <row r="23" customFormat="false" ht="15" hidden="false" customHeight="false" outlineLevel="0" collapsed="false">
      <c r="A23" s="8" t="s">
        <v>83</v>
      </c>
      <c r="B23" s="8"/>
      <c r="C23" s="9" t="n">
        <v>3</v>
      </c>
      <c r="D23" s="9" t="n">
        <v>2</v>
      </c>
      <c r="E23" s="9" t="s">
        <v>174</v>
      </c>
      <c r="F23" s="9" t="n">
        <v>207</v>
      </c>
      <c r="G23" s="8" t="s">
        <v>188</v>
      </c>
      <c r="H23" s="9" t="s">
        <v>71</v>
      </c>
      <c r="I23" s="9" t="n">
        <v>4</v>
      </c>
      <c r="J23" s="9"/>
      <c r="K23" s="9" t="n">
        <v>64</v>
      </c>
      <c r="L23" s="9" t="n">
        <v>216</v>
      </c>
      <c r="M23" s="9" t="n">
        <v>215</v>
      </c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cursada",IF(AND(OR(L23="",COUNTIF($F$2:$F$46,L23)=0,COUNTIFS($F$2:$F$46,L23,$Q$2:$Q$46,"Aprobada")&gt;0,AND(Resumen!$B$15="La cursada aprobada",COUNTIFS($F$2:$F$46,L23,$Q$2:$Q$46,"Cursada aprobada")&gt;0)),OR(M23="",COUNTIF($F$2:$F$46,M23)=0,COUNTIFS($F$2:$F$46,M23,$Q$2:$Q$46,"Aprobada")&gt;0,AND(Resumen!$B$15="La cursada aprobada",COUNTIFS($F$2:$F$46,M23,$Q$2:$Q$46,"Cursada aprobada")&gt;0)),OR(N23="",COUNTIF($F$2:$F$46,N23)=0,COUNTIFS($F$2:$F$46,N23,$Q$2:$Q$46,"Aprobada")&gt;0,AND(Resumen!$B$15="La cursada aprobada",COUNTIFS($F$2:$F$46,N23,$Q$2:$Q$46,"Cursada aprobada")&gt;0)),OR(O23="",COUNTIF($F$2:$F$46,O23)=0,COUNTIFS($F$2:$F$46,O23,$Q$2:$Q$46,"Aprobada")&gt;0,AND(Resumen!$B$15="La cursada aprobada",COUNTIFS($F$2:$F$46,O23,$Q$2:$Q$46,"Cursada aprobada")&gt;0)),OR(P23="",COUNTIF($F$2:$F$46,P23)=0,COUNTIFS($F$2:$F$46,P23,$Q$2:$Q$46,"Aprobada")&gt;0,AND(Resumen!$B$15="La cursada aprobada",COUNTIFS($F$2:$F$46,P23,$Q$2:$Q$46,"Cursada aprobada")&gt;0))),"Sí","No")))</f>
        <v>No</v>
      </c>
      <c r="S23" s="8" t="str">
        <f aca="false">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</f>
        <v>216 215</v>
      </c>
      <c r="T23" s="9" t="str">
        <f aca="false">IF(Q23="Cursada aprobada",IF(AND(OR(L23="",COUNTIF($F$2:$F$46,L23)=0,COUNTIFS($F$2:$F$46,L23,$Q$2:$Q$46,"Aprobada")&gt;0),OR(M23="",COUNTIF($F$2:$F$46,M23)=0,COUNTIFS($F$2:$F$46,M23,$Q$2:$Q$46,"Aprobada")&gt;0),OR(N23="",COUNTIF($F$2:$F$46,N23)=0,COUNTIFS($F$2:$F$46,N23,$Q$2:$Q$46,"Aprobada")&gt;0),OR(O23="",COUNTIF($F$2:$F$46,O23)=0,COUNTIFS($F$2:$F$46,O23,$Q$2:$Q$46,"Aprobada")&gt;0),OR(P23="",COUNTIF($F$2:$F$46,P23)=0,COUNTIFS($F$2:$F$46,P23,$Q$2:$Q$46,"Aprobada")&gt;0)),"Sí","No"),"")</f>
        <v/>
      </c>
      <c r="U23" s="9" t="str">
        <f aca="false">IF(Q23="Aprobada",TRIM(IF(NOT(OR(L23="",COUNTIF($F$2:$F$46,L23)=0,COUNTIFS($F$2:$F$46,L23,$Q$2:$Q$46,"Aprobada")&gt;0)),L23&amp;" ","")&amp;IF(NOT(OR(M23="",COUNTIF($F$2:$F$46,M23)=0,COUNTIFS($F$2:$F$46,M23,$Q$2:$Q$46,"Aprobada")&gt;0)),M23&amp;" ","")&amp;IF(NOT(OR(N23="",COUNTIF($F$2:$F$46,N23)=0,COUNTIFS($F$2:$F$46,N23,$Q$2:$Q$46,"Aprobada")&gt;0)),N23&amp;" ","")&amp;IF(NOT(OR(O23="",COUNTIF($F$2:$F$46,O23)=0,COUNTIFS($F$2:$F$46,O23,$Q$2:$Q$46,"Aprobada")&gt;0)),O23&amp;" ","")&amp;IF(NOT(OR(P23="",COUNTIF($F$2:$F$46,P23)=0,COUNTIFS($F$2:$F$46,P23,$Q$2:$Q$46,"Aprobada")&gt;0)),P23&amp;" ","")),IF(Q23="Cursada aprobada",TRIM(IF(NOT(OR(L23="",COUNTIF($F$2:$F$46,L23)=0,COUNTIFS($F$2:$F$46,L23,$Q$2:$Q$46,"Aprobada")&gt;0,AND(Resumen!$B$15="La cursada aprobada",COUNTIFS($F$2:$F$46,L23,$Q$2:$Q$46,"Cursada aprobada")&gt;0))),L23&amp;" ","")&amp;IF(NOT(OR(M23="",COUNTIF($F$2:$F$46,M23)=0,COUNTIFS($F$2:$F$46,M23,$Q$2:$Q$46,"Aprobada")&gt;0,AND(Resumen!$B$15="La cursada aprobada",COUNTIFS($F$2:$F$46,M23,$Q$2:$Q$46,"Cursada aprobada")&gt;0))),M23&amp;" ","")&amp;IF(NOT(OR(N23="",COUNTIF($F$2:$F$46,N23)=0,COUNTIFS($F$2:$F$46,N23,$Q$2:$Q$46,"Aprobada")&gt;0,AND(Resumen!$B$15="La cursada aprobada",COUNTIFS($F$2:$F$46,N23,$Q$2:$Q$46,"Cursada aprobada")&gt;0))),N23&amp;" ","")&amp;IF(NOT(OR(O23="",COUNTIF($F$2:$F$46,O23)=0,COUNTIFS($F$2:$F$46,O23,$Q$2:$Q$46,"Aprobada")&gt;0,AND(Resumen!$B$15="La cursada aprobada",COUNTIFS($F$2:$F$46,O23,$Q$2:$Q$46,"Cursada aprobada")&gt;0))),O23&amp;" ","")&amp;IF(NOT(OR(P23="",COUNTIF($F$2:$F$46,P23)=0,COUNTIFS($F$2:$F$46,P23,$Q$2:$Q$46,"Aprobada")&gt;0,AND(Resumen!$B$15="La cursada aprobada",COUNTIFS($F$2:$F$46,P23,$Q$2:$Q$46,"Cursada aprobada")&gt;0))),P23&amp;" ","")),""))</f>
        <v/>
      </c>
    </row>
    <row r="24" customFormat="false" ht="15" hidden="false" customHeight="false" outlineLevel="0" collapsed="false">
      <c r="A24" s="8" t="s">
        <v>83</v>
      </c>
      <c r="B24" s="8"/>
      <c r="C24" s="9" t="n">
        <v>3</v>
      </c>
      <c r="D24" s="9" t="n">
        <v>2</v>
      </c>
      <c r="E24" s="9" t="s">
        <v>69</v>
      </c>
      <c r="F24" s="9" t="n">
        <v>465</v>
      </c>
      <c r="G24" s="8" t="s">
        <v>189</v>
      </c>
      <c r="H24" s="9" t="s">
        <v>71</v>
      </c>
      <c r="I24" s="9" t="n">
        <v>4</v>
      </c>
      <c r="J24" s="9"/>
      <c r="K24" s="9" t="n">
        <v>64</v>
      </c>
      <c r="L24" s="9"/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cursada",IF(AND(OR(L24="",COUNTIF($F$2:$F$46,L24)=0,COUNTIFS($F$2:$F$46,L24,$Q$2:$Q$46,"Aprobada")&gt;0,AND(Resumen!$B$15="La cursada aprobada",COUNTIFS($F$2:$F$46,L24,$Q$2:$Q$46,"Cursada aprobada")&gt;0)),OR(M24="",COUNTIF($F$2:$F$46,M24)=0,COUNTIFS($F$2:$F$46,M24,$Q$2:$Q$46,"Aprobada")&gt;0,AND(Resumen!$B$15="La cursada aprobada",COUNTIFS($F$2:$F$46,M24,$Q$2:$Q$46,"Cursada aprobada")&gt;0)),OR(N24="",COUNTIF($F$2:$F$46,N24)=0,COUNTIFS($F$2:$F$46,N24,$Q$2:$Q$46,"Aprobada")&gt;0,AND(Resumen!$B$15="La cursada aprobada",COUNTIFS($F$2:$F$46,N24,$Q$2:$Q$46,"Cursada aprobada")&gt;0)),OR(O24="",COUNTIF($F$2:$F$46,O24)=0,COUNTIFS($F$2:$F$46,O24,$Q$2:$Q$46,"Aprobada")&gt;0,AND(Resumen!$B$15="La cursada aprobada",COUNTIFS($F$2:$F$46,O24,$Q$2:$Q$46,"Cursada aprobada")&gt;0)),OR(P24="",COUNTIF($F$2:$F$46,P24)=0,COUNTIFS($F$2:$F$46,P24,$Q$2:$Q$46,"Aprobada")&gt;0,AND(Resumen!$B$15="La cursada aprobada",COUNTIFS($F$2:$F$46,P24,$Q$2:$Q$46,"Cursada aprobada")&gt;0))),"Sí","No")))</f>
        <v>Sí</v>
      </c>
      <c r="S24" s="8" t="str">
        <f aca="false">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</f>
        <v/>
      </c>
      <c r="T24" s="9" t="str">
        <f aca="false">IF(Q24="Cursada aprobada",IF(AND(OR(L24="",COUNTIF($F$2:$F$46,L24)=0,COUNTIFS($F$2:$F$46,L24,$Q$2:$Q$46,"Aprobada")&gt;0),OR(M24="",COUNTIF($F$2:$F$46,M24)=0,COUNTIFS($F$2:$F$46,M24,$Q$2:$Q$46,"Aprobada")&gt;0),OR(N24="",COUNTIF($F$2:$F$46,N24)=0,COUNTIFS($F$2:$F$46,N24,$Q$2:$Q$46,"Aprobada")&gt;0),OR(O24="",COUNTIF($F$2:$F$46,O24)=0,COUNTIFS($F$2:$F$46,O24,$Q$2:$Q$46,"Aprobada")&gt;0),OR(P24="",COUNTIF($F$2:$F$46,P24)=0,COUNTIFS($F$2:$F$46,P24,$Q$2:$Q$46,"Aprobada")&gt;0)),"Sí","No"),"")</f>
        <v/>
      </c>
      <c r="U24" s="9" t="str">
        <f aca="false">IF(Q24="Aprobada",TRIM(IF(NOT(OR(L24="",COUNTIF($F$2:$F$46,L24)=0,COUNTIFS($F$2:$F$46,L24,$Q$2:$Q$46,"Aprobada")&gt;0)),L24&amp;" ","")&amp;IF(NOT(OR(M24="",COUNTIF($F$2:$F$46,M24)=0,COUNTIFS($F$2:$F$46,M24,$Q$2:$Q$46,"Aprobada")&gt;0)),M24&amp;" ","")&amp;IF(NOT(OR(N24="",COUNTIF($F$2:$F$46,N24)=0,COUNTIFS($F$2:$F$46,N24,$Q$2:$Q$46,"Aprobada")&gt;0)),N24&amp;" ","")&amp;IF(NOT(OR(O24="",COUNTIF($F$2:$F$46,O24)=0,COUNTIFS($F$2:$F$46,O24,$Q$2:$Q$46,"Aprobada")&gt;0)),O24&amp;" ","")&amp;IF(NOT(OR(P24="",COUNTIF($F$2:$F$46,P24)=0,COUNTIFS($F$2:$F$46,P24,$Q$2:$Q$46,"Aprobada")&gt;0)),P24&amp;" ","")),IF(Q24="Cursada aprobada",TRIM(IF(NOT(OR(L24="",COUNTIF($F$2:$F$46,L24)=0,COUNTIFS($F$2:$F$46,L24,$Q$2:$Q$46,"Aprobada")&gt;0,AND(Resumen!$B$15="La cursada aprobada",COUNTIFS($F$2:$F$46,L24,$Q$2:$Q$46,"Cursada aprobada")&gt;0))),L24&amp;" ","")&amp;IF(NOT(OR(M24="",COUNTIF($F$2:$F$46,M24)=0,COUNTIFS($F$2:$F$46,M24,$Q$2:$Q$46,"Aprobada")&gt;0,AND(Resumen!$B$15="La cursada aprobada",COUNTIFS($F$2:$F$46,M24,$Q$2:$Q$46,"Cursada aprobada")&gt;0))),M24&amp;" ","")&amp;IF(NOT(OR(N24="",COUNTIF($F$2:$F$46,N24)=0,COUNTIFS($F$2:$F$46,N24,$Q$2:$Q$46,"Aprobada")&gt;0,AND(Resumen!$B$15="La cursada aprobada",COUNTIFS($F$2:$F$46,N24,$Q$2:$Q$46,"Cursada aprobada")&gt;0))),N24&amp;" ","")&amp;IF(NOT(OR(O24="",COUNTIF($F$2:$F$46,O24)=0,COUNTIFS($F$2:$F$46,O24,$Q$2:$Q$46,"Aprobada")&gt;0,AND(Resumen!$B$15="La cursada aprobada",COUNTIFS($F$2:$F$46,O24,$Q$2:$Q$46,"Cursada aprobada")&gt;0))),O24&amp;" ","")&amp;IF(NOT(OR(P24="",COUNTIF($F$2:$F$46,P24)=0,COUNTIFS($F$2:$F$46,P24,$Q$2:$Q$46,"Aprobada")&gt;0,AND(Resumen!$B$15="La cursada aprobada",COUNTIFS($F$2:$F$46,P24,$Q$2:$Q$46,"Cursada aprobada")&gt;0))),P24&amp;" ","")),""))</f>
        <v/>
      </c>
    </row>
    <row r="25" customFormat="false" ht="15" hidden="false" customHeight="false" outlineLevel="0" collapsed="false">
      <c r="A25" s="8" t="s">
        <v>83</v>
      </c>
      <c r="B25" s="8"/>
      <c r="C25" s="9" t="n">
        <v>4</v>
      </c>
      <c r="D25" s="9" t="n">
        <v>1</v>
      </c>
      <c r="E25" s="9" t="s">
        <v>67</v>
      </c>
      <c r="F25" s="9" t="n">
        <v>349</v>
      </c>
      <c r="G25" s="8" t="s">
        <v>89</v>
      </c>
      <c r="H25" s="9" t="s">
        <v>61</v>
      </c>
      <c r="I25" s="9" t="n">
        <v>6</v>
      </c>
      <c r="J25" s="9"/>
      <c r="K25" s="9" t="n">
        <v>96</v>
      </c>
      <c r="L25" s="9" t="n">
        <v>202</v>
      </c>
      <c r="M25" s="9" t="n">
        <v>324</v>
      </c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cursada",IF(AND(OR(L25="",COUNTIF($F$2:$F$46,L25)=0,COUNTIFS($F$2:$F$46,L25,$Q$2:$Q$46,"Aprobada")&gt;0,AND(Resumen!$B$15="La cursada aprobada",COUNTIFS($F$2:$F$46,L25,$Q$2:$Q$46,"Cursada aprobada")&gt;0)),OR(M25="",COUNTIF($F$2:$F$46,M25)=0,COUNTIFS($F$2:$F$46,M25,$Q$2:$Q$46,"Aprobada")&gt;0,AND(Resumen!$B$15="La cursada aprobada",COUNTIFS($F$2:$F$46,M25,$Q$2:$Q$46,"Cursada aprobada")&gt;0)),OR(N25="",COUNTIF($F$2:$F$46,N25)=0,COUNTIFS($F$2:$F$46,N25,$Q$2:$Q$46,"Aprobada")&gt;0,AND(Resumen!$B$15="La cursada aprobada",COUNTIFS($F$2:$F$46,N25,$Q$2:$Q$46,"Cursada aprobada")&gt;0)),OR(O25="",COUNTIF($F$2:$F$46,O25)=0,COUNTIFS($F$2:$F$46,O25,$Q$2:$Q$46,"Aprobada")&gt;0,AND(Resumen!$B$15="La cursada aprobada",COUNTIFS($F$2:$F$46,O25,$Q$2:$Q$46,"Cursada aprobada")&gt;0)),OR(P25="",COUNTIF($F$2:$F$46,P25)=0,COUNTIFS($F$2:$F$46,P25,$Q$2:$Q$46,"Aprobada")&gt;0,AND(Resumen!$B$15="La cursada aprobada",COUNTIFS($F$2:$F$46,P25,$Q$2:$Q$46,"Cursada aprobada")&gt;0))),"Sí","No")))</f>
        <v>No</v>
      </c>
      <c r="S25" s="8" t="str">
        <f aca="false">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</f>
        <v>202 324</v>
      </c>
      <c r="T25" s="9" t="str">
        <f aca="false">IF(Q25="Cursada aprobada",IF(AND(OR(L25="",COUNTIF($F$2:$F$46,L25)=0,COUNTIFS($F$2:$F$46,L25,$Q$2:$Q$46,"Aprobada")&gt;0),OR(M25="",COUNTIF($F$2:$F$46,M25)=0,COUNTIFS($F$2:$F$46,M25,$Q$2:$Q$46,"Aprobada")&gt;0),OR(N25="",COUNTIF($F$2:$F$46,N25)=0,COUNTIFS($F$2:$F$46,N25,$Q$2:$Q$46,"Aprobada")&gt;0),OR(O25="",COUNTIF($F$2:$F$46,O25)=0,COUNTIFS($F$2:$F$46,O25,$Q$2:$Q$46,"Aprobada")&gt;0),OR(P25="",COUNTIF($F$2:$F$46,P25)=0,COUNTIFS($F$2:$F$46,P25,$Q$2:$Q$46,"Aprobada")&gt;0)),"Sí","No"),"")</f>
        <v/>
      </c>
      <c r="U25" s="9" t="str">
        <f aca="false">IF(Q25="Aprobada",TRIM(IF(NOT(OR(L25="",COUNTIF($F$2:$F$46,L25)=0,COUNTIFS($F$2:$F$46,L25,$Q$2:$Q$46,"Aprobada")&gt;0)),L25&amp;" ","")&amp;IF(NOT(OR(M25="",COUNTIF($F$2:$F$46,M25)=0,COUNTIFS($F$2:$F$46,M25,$Q$2:$Q$46,"Aprobada")&gt;0)),M25&amp;" ","")&amp;IF(NOT(OR(N25="",COUNTIF($F$2:$F$46,N25)=0,COUNTIFS($F$2:$F$46,N25,$Q$2:$Q$46,"Aprobada")&gt;0)),N25&amp;" ","")&amp;IF(NOT(OR(O25="",COUNTIF($F$2:$F$46,O25)=0,COUNTIFS($F$2:$F$46,O25,$Q$2:$Q$46,"Aprobada")&gt;0)),O25&amp;" ","")&amp;IF(NOT(OR(P25="",COUNTIF($F$2:$F$46,P25)=0,COUNTIFS($F$2:$F$46,P25,$Q$2:$Q$46,"Aprobada")&gt;0)),P25&amp;" ","")),IF(Q25="Cursada aprobada",TRIM(IF(NOT(OR(L25="",COUNTIF($F$2:$F$46,L25)=0,COUNTIFS($F$2:$F$46,L25,$Q$2:$Q$46,"Aprobada")&gt;0,AND(Resumen!$B$15="La cursada aprobada",COUNTIFS($F$2:$F$46,L25,$Q$2:$Q$46,"Cursada aprobada")&gt;0))),L25&amp;" ","")&amp;IF(NOT(OR(M25="",COUNTIF($F$2:$F$46,M25)=0,COUNTIFS($F$2:$F$46,M25,$Q$2:$Q$46,"Aprobada")&gt;0,AND(Resumen!$B$15="La cursada aprobada",COUNTIFS($F$2:$F$46,M25,$Q$2:$Q$46,"Cursada aprobada")&gt;0))),M25&amp;" ","")&amp;IF(NOT(OR(N25="",COUNTIF($F$2:$F$46,N25)=0,COUNTIFS($F$2:$F$46,N25,$Q$2:$Q$46,"Aprobada")&gt;0,AND(Resumen!$B$15="La cursada aprobada",COUNTIFS($F$2:$F$46,N25,$Q$2:$Q$46,"Cursada aprobada")&gt;0))),N25&amp;" ","")&amp;IF(NOT(OR(O25="",COUNTIF($F$2:$F$46,O25)=0,COUNTIFS($F$2:$F$46,O25,$Q$2:$Q$46,"Aprobada")&gt;0,AND(Resumen!$B$15="La cursada aprobada",COUNTIFS($F$2:$F$46,O25,$Q$2:$Q$46,"Cursada aprobada")&gt;0))),O25&amp;" ","")&amp;IF(NOT(OR(P25="",COUNTIF($F$2:$F$46,P25)=0,COUNTIFS($F$2:$F$46,P25,$Q$2:$Q$46,"Aprobada")&gt;0,AND(Resumen!$B$15="La cursada aprobada",COUNTIFS($F$2:$F$46,P25,$Q$2:$Q$46,"Cursada aprobada")&gt;0))),P25&amp;" ","")),""))</f>
        <v/>
      </c>
    </row>
    <row r="26" customFormat="false" ht="15" hidden="false" customHeight="false" outlineLevel="0" collapsed="false">
      <c r="A26" s="8" t="s">
        <v>83</v>
      </c>
      <c r="B26" s="8"/>
      <c r="C26" s="9" t="n">
        <v>4</v>
      </c>
      <c r="D26" s="9" t="n">
        <v>1</v>
      </c>
      <c r="E26" s="9" t="s">
        <v>63</v>
      </c>
      <c r="F26" s="9" t="n">
        <v>432</v>
      </c>
      <c r="G26" s="8" t="s">
        <v>190</v>
      </c>
      <c r="H26" s="9" t="s">
        <v>61</v>
      </c>
      <c r="I26" s="9" t="n">
        <v>4</v>
      </c>
      <c r="J26" s="9"/>
      <c r="K26" s="9" t="n">
        <v>64</v>
      </c>
      <c r="L26" s="9" t="n">
        <v>104</v>
      </c>
      <c r="M26" s="9" t="n">
        <v>324</v>
      </c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cursada",IF(AND(OR(L26="",COUNTIF($F$2:$F$46,L26)=0,COUNTIFS($F$2:$F$46,L26,$Q$2:$Q$46,"Aprobada")&gt;0,AND(Resumen!$B$15="La cursada aprobada",COUNTIFS($F$2:$F$46,L26,$Q$2:$Q$46,"Cursada aprobada")&gt;0)),OR(M26="",COUNTIF($F$2:$F$46,M26)=0,COUNTIFS($F$2:$F$46,M26,$Q$2:$Q$46,"Aprobada")&gt;0,AND(Resumen!$B$15="La cursada aprobada",COUNTIFS($F$2:$F$46,M26,$Q$2:$Q$46,"Cursada aprobada")&gt;0)),OR(N26="",COUNTIF($F$2:$F$46,N26)=0,COUNTIFS($F$2:$F$46,N26,$Q$2:$Q$46,"Aprobada")&gt;0,AND(Resumen!$B$15="La cursada aprobada",COUNTIFS($F$2:$F$46,N26,$Q$2:$Q$46,"Cursada aprobada")&gt;0)),OR(O26="",COUNTIF($F$2:$F$46,O26)=0,COUNTIFS($F$2:$F$46,O26,$Q$2:$Q$46,"Aprobada")&gt;0,AND(Resumen!$B$15="La cursada aprobada",COUNTIFS($F$2:$F$46,O26,$Q$2:$Q$46,"Cursada aprobada")&gt;0)),OR(P26="",COUNTIF($F$2:$F$46,P26)=0,COUNTIFS($F$2:$F$46,P26,$Q$2:$Q$46,"Aprobada")&gt;0,AND(Resumen!$B$15="La cursada aprobada",COUNTIFS($F$2:$F$46,P26,$Q$2:$Q$46,"Cursada aprobada")&gt;0))),"Sí","No")))</f>
        <v>No</v>
      </c>
      <c r="S26" s="8" t="str">
        <f aca="false">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</f>
        <v>104 324</v>
      </c>
      <c r="T26" s="9" t="str">
        <f aca="false">IF(Q26="Cursada aprobada",IF(AND(OR(L26="",COUNTIF($F$2:$F$46,L26)=0,COUNTIFS($F$2:$F$46,L26,$Q$2:$Q$46,"Aprobada")&gt;0),OR(M26="",COUNTIF($F$2:$F$46,M26)=0,COUNTIFS($F$2:$F$46,M26,$Q$2:$Q$46,"Aprobada")&gt;0),OR(N26="",COUNTIF($F$2:$F$46,N26)=0,COUNTIFS($F$2:$F$46,N26,$Q$2:$Q$46,"Aprobada")&gt;0),OR(O26="",COUNTIF($F$2:$F$46,O26)=0,COUNTIFS($F$2:$F$46,O26,$Q$2:$Q$46,"Aprobada")&gt;0),OR(P26="",COUNTIF($F$2:$F$46,P26)=0,COUNTIFS($F$2:$F$46,P26,$Q$2:$Q$46,"Aprobada")&gt;0)),"Sí","No"),"")</f>
        <v/>
      </c>
      <c r="U26" s="9" t="str">
        <f aca="false">IF(Q26="Aprobada",TRIM(IF(NOT(OR(L26="",COUNTIF($F$2:$F$46,L26)=0,COUNTIFS($F$2:$F$46,L26,$Q$2:$Q$46,"Aprobada")&gt;0)),L26&amp;" ","")&amp;IF(NOT(OR(M26="",COUNTIF($F$2:$F$46,M26)=0,COUNTIFS($F$2:$F$46,M26,$Q$2:$Q$46,"Aprobada")&gt;0)),M26&amp;" ","")&amp;IF(NOT(OR(N26="",COUNTIF($F$2:$F$46,N26)=0,COUNTIFS($F$2:$F$46,N26,$Q$2:$Q$46,"Aprobada")&gt;0)),N26&amp;" ","")&amp;IF(NOT(OR(O26="",COUNTIF($F$2:$F$46,O26)=0,COUNTIFS($F$2:$F$46,O26,$Q$2:$Q$46,"Aprobada")&gt;0)),O26&amp;" ","")&amp;IF(NOT(OR(P26="",COUNTIF($F$2:$F$46,P26)=0,COUNTIFS($F$2:$F$46,P26,$Q$2:$Q$46,"Aprobada")&gt;0)),P26&amp;" ","")),IF(Q26="Cursada aprobada",TRIM(IF(NOT(OR(L26="",COUNTIF($F$2:$F$46,L26)=0,COUNTIFS($F$2:$F$46,L26,$Q$2:$Q$46,"Aprobada")&gt;0,AND(Resumen!$B$15="La cursada aprobada",COUNTIFS($F$2:$F$46,L26,$Q$2:$Q$46,"Cursada aprobada")&gt;0))),L26&amp;" ","")&amp;IF(NOT(OR(M26="",COUNTIF($F$2:$F$46,M26)=0,COUNTIFS($F$2:$F$46,M26,$Q$2:$Q$46,"Aprobada")&gt;0,AND(Resumen!$B$15="La cursada aprobada",COUNTIFS($F$2:$F$46,M26,$Q$2:$Q$46,"Cursada aprobada")&gt;0))),M26&amp;" ","")&amp;IF(NOT(OR(N26="",COUNTIF($F$2:$F$46,N26)=0,COUNTIFS($F$2:$F$46,N26,$Q$2:$Q$46,"Aprobada")&gt;0,AND(Resumen!$B$15="La cursada aprobada",COUNTIFS($F$2:$F$46,N26,$Q$2:$Q$46,"Cursada aprobada")&gt;0))),N26&amp;" ","")&amp;IF(NOT(OR(O26="",COUNTIF($F$2:$F$46,O26)=0,COUNTIFS($F$2:$F$46,O26,$Q$2:$Q$46,"Aprobada")&gt;0,AND(Resumen!$B$15="La cursada aprobada",COUNTIFS($F$2:$F$46,O26,$Q$2:$Q$46,"Cursada aprobada")&gt;0))),O26&amp;" ","")&amp;IF(NOT(OR(P26="",COUNTIF($F$2:$F$46,P26)=0,COUNTIFS($F$2:$F$46,P26,$Q$2:$Q$46,"Aprobada")&gt;0,AND(Resumen!$B$15="La cursada aprobada",COUNTIFS($F$2:$F$46,P26,$Q$2:$Q$46,"Cursada aprobada")&gt;0))),P26&amp;" ","")),""))</f>
        <v/>
      </c>
    </row>
    <row r="27" customFormat="false" ht="15" hidden="false" customHeight="false" outlineLevel="0" collapsed="false">
      <c r="A27" s="8" t="s">
        <v>83</v>
      </c>
      <c r="B27" s="8"/>
      <c r="C27" s="9" t="n">
        <v>4</v>
      </c>
      <c r="D27" s="9" t="n">
        <v>1</v>
      </c>
      <c r="E27" s="9" t="s">
        <v>174</v>
      </c>
      <c r="F27" s="9" t="n">
        <v>481</v>
      </c>
      <c r="G27" s="8" t="s">
        <v>191</v>
      </c>
      <c r="H27" s="9" t="s">
        <v>71</v>
      </c>
      <c r="I27" s="9" t="n">
        <v>4</v>
      </c>
      <c r="J27" s="9"/>
      <c r="K27" s="9" t="n">
        <v>64</v>
      </c>
      <c r="L27" s="9"/>
      <c r="M27" s="9"/>
      <c r="N27" s="9"/>
      <c r="O27" s="9"/>
      <c r="P27" s="9"/>
      <c r="Q27" s="10" t="s">
        <v>62</v>
      </c>
      <c r="R27" s="9" t="str">
        <f aca="false">IF(Q27="Aprobada","Ya aprobada",IF(Q27="Cursada aprobada","Ya cursada",IF(AND(OR(L27="",COUNTIF($F$2:$F$46,L27)=0,COUNTIFS($F$2:$F$46,L27,$Q$2:$Q$46,"Aprobada")&gt;0,AND(Resumen!$B$15="La cursada aprobada",COUNTIFS($F$2:$F$46,L27,$Q$2:$Q$46,"Cursada aprobada")&gt;0)),OR(M27="",COUNTIF($F$2:$F$46,M27)=0,COUNTIFS($F$2:$F$46,M27,$Q$2:$Q$46,"Aprobada")&gt;0,AND(Resumen!$B$15="La cursada aprobada",COUNTIFS($F$2:$F$46,M27,$Q$2:$Q$46,"Cursada aprobada")&gt;0)),OR(N27="",COUNTIF($F$2:$F$46,N27)=0,COUNTIFS($F$2:$F$46,N27,$Q$2:$Q$46,"Aprobada")&gt;0,AND(Resumen!$B$15="La cursada aprobada",COUNTIFS($F$2:$F$46,N27,$Q$2:$Q$46,"Cursada aprobada")&gt;0)),OR(O27="",COUNTIF($F$2:$F$46,O27)=0,COUNTIFS($F$2:$F$46,O27,$Q$2:$Q$46,"Aprobada")&gt;0,AND(Resumen!$B$15="La cursada aprobada",COUNTIFS($F$2:$F$46,O27,$Q$2:$Q$46,"Cursada aprobada")&gt;0)),OR(P27="",COUNTIF($F$2:$F$46,P27)=0,COUNTIFS($F$2:$F$46,P27,$Q$2:$Q$46,"Aprobada")&gt;0,AND(Resumen!$B$15="La cursada aprobada",COUNTIFS($F$2:$F$46,P27,$Q$2:$Q$46,"Cursada aprobada")&gt;0))),"Sí","No")))</f>
        <v>Sí</v>
      </c>
      <c r="S27" s="8" t="str">
        <f aca="false">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</f>
        <v/>
      </c>
      <c r="T27" s="9" t="str">
        <f aca="false">IF(Q27="Cursada aprobada",IF(AND(OR(L27="",COUNTIF($F$2:$F$46,L27)=0,COUNTIFS($F$2:$F$46,L27,$Q$2:$Q$46,"Aprobada")&gt;0),OR(M27="",COUNTIF($F$2:$F$46,M27)=0,COUNTIFS($F$2:$F$46,M27,$Q$2:$Q$46,"Aprobada")&gt;0),OR(N27="",COUNTIF($F$2:$F$46,N27)=0,COUNTIFS($F$2:$F$46,N27,$Q$2:$Q$46,"Aprobada")&gt;0),OR(O27="",COUNTIF($F$2:$F$46,O27)=0,COUNTIFS($F$2:$F$46,O27,$Q$2:$Q$46,"Aprobada")&gt;0),OR(P27="",COUNTIF($F$2:$F$46,P27)=0,COUNTIFS($F$2:$F$46,P27,$Q$2:$Q$46,"Aprobada")&gt;0)),"Sí","No"),"")</f>
        <v/>
      </c>
      <c r="U27" s="9" t="str">
        <f aca="false">IF(Q27="Aprobada",TRIM(IF(NOT(OR(L27="",COUNTIF($F$2:$F$46,L27)=0,COUNTIFS($F$2:$F$46,L27,$Q$2:$Q$46,"Aprobada")&gt;0)),L27&amp;" ","")&amp;IF(NOT(OR(M27="",COUNTIF($F$2:$F$46,M27)=0,COUNTIFS($F$2:$F$46,M27,$Q$2:$Q$46,"Aprobada")&gt;0)),M27&amp;" ","")&amp;IF(NOT(OR(N27="",COUNTIF($F$2:$F$46,N27)=0,COUNTIFS($F$2:$F$46,N27,$Q$2:$Q$46,"Aprobada")&gt;0)),N27&amp;" ","")&amp;IF(NOT(OR(O27="",COUNTIF($F$2:$F$46,O27)=0,COUNTIFS($F$2:$F$46,O27,$Q$2:$Q$46,"Aprobada")&gt;0)),O27&amp;" ","")&amp;IF(NOT(OR(P27="",COUNTIF($F$2:$F$46,P27)=0,COUNTIFS($F$2:$F$46,P27,$Q$2:$Q$46,"Aprobada")&gt;0)),P27&amp;" ","")),IF(Q27="Cursada aprobada",TRIM(IF(NOT(OR(L27="",COUNTIF($F$2:$F$46,L27)=0,COUNTIFS($F$2:$F$46,L27,$Q$2:$Q$46,"Aprobada")&gt;0,AND(Resumen!$B$15="La cursada aprobada",COUNTIFS($F$2:$F$46,L27,$Q$2:$Q$46,"Cursada aprobada")&gt;0))),L27&amp;" ","")&amp;IF(NOT(OR(M27="",COUNTIF($F$2:$F$46,M27)=0,COUNTIFS($F$2:$F$46,M27,$Q$2:$Q$46,"Aprobada")&gt;0,AND(Resumen!$B$15="La cursada aprobada",COUNTIFS($F$2:$F$46,M27,$Q$2:$Q$46,"Cursada aprobada")&gt;0))),M27&amp;" ","")&amp;IF(NOT(OR(N27="",COUNTIF($F$2:$F$46,N27)=0,COUNTIFS($F$2:$F$46,N27,$Q$2:$Q$46,"Aprobada")&gt;0,AND(Resumen!$B$15="La cursada aprobada",COUNTIFS($F$2:$F$46,N27,$Q$2:$Q$46,"Cursada aprobada")&gt;0))),N27&amp;" ","")&amp;IF(NOT(OR(O27="",COUNTIF($F$2:$F$46,O27)=0,COUNTIFS($F$2:$F$46,O27,$Q$2:$Q$46,"Aprobada")&gt;0,AND(Resumen!$B$15="La cursada aprobada",COUNTIFS($F$2:$F$46,O27,$Q$2:$Q$46,"Cursada aprobada")&gt;0))),O27&amp;" ","")&amp;IF(NOT(OR(P27="",COUNTIF($F$2:$F$46,P27)=0,COUNTIFS($F$2:$F$46,P27,$Q$2:$Q$46,"Aprobada")&gt;0,AND(Resumen!$B$15="La cursada aprobada",COUNTIFS($F$2:$F$46,P27,$Q$2:$Q$46,"Cursada aprobada")&gt;0))),P27&amp;" ","")),""))</f>
        <v/>
      </c>
    </row>
    <row r="28" customFormat="false" ht="15" hidden="false" customHeight="false" outlineLevel="0" collapsed="false">
      <c r="A28" s="8" t="s">
        <v>83</v>
      </c>
      <c r="B28" s="8"/>
      <c r="C28" s="9" t="n">
        <v>4</v>
      </c>
      <c r="D28" s="9" t="n">
        <v>1</v>
      </c>
      <c r="E28" s="9" t="s">
        <v>63</v>
      </c>
      <c r="F28" s="9" t="n">
        <v>433</v>
      </c>
      <c r="G28" s="8" t="s">
        <v>192</v>
      </c>
      <c r="H28" s="9" t="s">
        <v>71</v>
      </c>
      <c r="I28" s="9" t="n">
        <v>4</v>
      </c>
      <c r="J28" s="9"/>
      <c r="K28" s="9" t="n">
        <v>64</v>
      </c>
      <c r="L28" s="9" t="n">
        <v>308</v>
      </c>
      <c r="M28" s="9"/>
      <c r="N28" s="9"/>
      <c r="O28" s="9"/>
      <c r="P28" s="9"/>
      <c r="Q28" s="10" t="s">
        <v>62</v>
      </c>
      <c r="R28" s="9" t="str">
        <f aca="false">IF(Q28="Aprobada","Ya aprobada",IF(Q28="Cursada aprobada","Ya cursada",IF(AND(OR(L28="",COUNTIF($F$2:$F$46,L28)=0,COUNTIFS($F$2:$F$46,L28,$Q$2:$Q$46,"Aprobada")&gt;0,AND(Resumen!$B$15="La cursada aprobada",COUNTIFS($F$2:$F$46,L28,$Q$2:$Q$46,"Cursada aprobada")&gt;0)),OR(M28="",COUNTIF($F$2:$F$46,M28)=0,COUNTIFS($F$2:$F$46,M28,$Q$2:$Q$46,"Aprobada")&gt;0,AND(Resumen!$B$15="La cursada aprobada",COUNTIFS($F$2:$F$46,M28,$Q$2:$Q$46,"Cursada aprobada")&gt;0)),OR(N28="",COUNTIF($F$2:$F$46,N28)=0,COUNTIFS($F$2:$F$46,N28,$Q$2:$Q$46,"Aprobada")&gt;0,AND(Resumen!$B$15="La cursada aprobada",COUNTIFS($F$2:$F$46,N28,$Q$2:$Q$46,"Cursada aprobada")&gt;0)),OR(O28="",COUNTIF($F$2:$F$46,O28)=0,COUNTIFS($F$2:$F$46,O28,$Q$2:$Q$46,"Aprobada")&gt;0,AND(Resumen!$B$15="La cursada aprobada",COUNTIFS($F$2:$F$46,O28,$Q$2:$Q$46,"Cursada aprobada")&gt;0)),OR(P28="",COUNTIF($F$2:$F$46,P28)=0,COUNTIFS($F$2:$F$46,P28,$Q$2:$Q$46,"Aprobada")&gt;0,AND(Resumen!$B$15="La cursada aprobada",COUNTIFS($F$2:$F$46,P28,$Q$2:$Q$46,"Cursada aprobada")&gt;0))),"Sí","No")))</f>
        <v>No</v>
      </c>
      <c r="S28" s="8" t="str">
        <f aca="false">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</f>
        <v>308</v>
      </c>
      <c r="T28" s="9" t="str">
        <f aca="false">IF(Q28="Cursada aprobada",IF(AND(OR(L28="",COUNTIF($F$2:$F$46,L28)=0,COUNTIFS($F$2:$F$46,L28,$Q$2:$Q$46,"Aprobada")&gt;0),OR(M28="",COUNTIF($F$2:$F$46,M28)=0,COUNTIFS($F$2:$F$46,M28,$Q$2:$Q$46,"Aprobada")&gt;0),OR(N28="",COUNTIF($F$2:$F$46,N28)=0,COUNTIFS($F$2:$F$46,N28,$Q$2:$Q$46,"Aprobada")&gt;0),OR(O28="",COUNTIF($F$2:$F$46,O28)=0,COUNTIFS($F$2:$F$46,O28,$Q$2:$Q$46,"Aprobada")&gt;0),OR(P28="",COUNTIF($F$2:$F$46,P28)=0,COUNTIFS($F$2:$F$46,P28,$Q$2:$Q$46,"Aprobada")&gt;0)),"Sí","No"),"")</f>
        <v/>
      </c>
      <c r="U28" s="9" t="str">
        <f aca="false">IF(Q28="Aprobada",TRIM(IF(NOT(OR(L28="",COUNTIF($F$2:$F$46,L28)=0,COUNTIFS($F$2:$F$46,L28,$Q$2:$Q$46,"Aprobada")&gt;0)),L28&amp;" ","")&amp;IF(NOT(OR(M28="",COUNTIF($F$2:$F$46,M28)=0,COUNTIFS($F$2:$F$46,M28,$Q$2:$Q$46,"Aprobada")&gt;0)),M28&amp;" ","")&amp;IF(NOT(OR(N28="",COUNTIF($F$2:$F$46,N28)=0,COUNTIFS($F$2:$F$46,N28,$Q$2:$Q$46,"Aprobada")&gt;0)),N28&amp;" ","")&amp;IF(NOT(OR(O28="",COUNTIF($F$2:$F$46,O28)=0,COUNTIFS($F$2:$F$46,O28,$Q$2:$Q$46,"Aprobada")&gt;0)),O28&amp;" ","")&amp;IF(NOT(OR(P28="",COUNTIF($F$2:$F$46,P28)=0,COUNTIFS($F$2:$F$46,P28,$Q$2:$Q$46,"Aprobada")&gt;0)),P28&amp;" ","")),IF(Q28="Cursada aprobada",TRIM(IF(NOT(OR(L28="",COUNTIF($F$2:$F$46,L28)=0,COUNTIFS($F$2:$F$46,L28,$Q$2:$Q$46,"Aprobada")&gt;0,AND(Resumen!$B$15="La cursada aprobada",COUNTIFS($F$2:$F$46,L28,$Q$2:$Q$46,"Cursada aprobada")&gt;0))),L28&amp;" ","")&amp;IF(NOT(OR(M28="",COUNTIF($F$2:$F$46,M28)=0,COUNTIFS($F$2:$F$46,M28,$Q$2:$Q$46,"Aprobada")&gt;0,AND(Resumen!$B$15="La cursada aprobada",COUNTIFS($F$2:$F$46,M28,$Q$2:$Q$46,"Cursada aprobada")&gt;0))),M28&amp;" ","")&amp;IF(NOT(OR(N28="",COUNTIF($F$2:$F$46,N28)=0,COUNTIFS($F$2:$F$46,N28,$Q$2:$Q$46,"Aprobada")&gt;0,AND(Resumen!$B$15="La cursada aprobada",COUNTIFS($F$2:$F$46,N28,$Q$2:$Q$46,"Cursada aprobada")&gt;0))),N28&amp;" ","")&amp;IF(NOT(OR(O28="",COUNTIF($F$2:$F$46,O28)=0,COUNTIFS($F$2:$F$46,O28,$Q$2:$Q$46,"Aprobada")&gt;0,AND(Resumen!$B$15="La cursada aprobada",COUNTIFS($F$2:$F$46,O28,$Q$2:$Q$46,"Cursada aprobada")&gt;0))),O28&amp;" ","")&amp;IF(NOT(OR(P28="",COUNTIF($F$2:$F$46,P28)=0,COUNTIFS($F$2:$F$46,P28,$Q$2:$Q$46,"Aprobada")&gt;0,AND(Resumen!$B$15="La cursada aprobada",COUNTIFS($F$2:$F$46,P28,$Q$2:$Q$46,"Cursada aprobada")&gt;0))),P28&amp;" ","")),""))</f>
        <v/>
      </c>
    </row>
    <row r="29" customFormat="false" ht="15" hidden="false" customHeight="false" outlineLevel="0" collapsed="false">
      <c r="A29" s="8" t="s">
        <v>83</v>
      </c>
      <c r="B29" s="8"/>
      <c r="C29" s="9" t="n">
        <v>4</v>
      </c>
      <c r="D29" s="9" t="n">
        <v>2</v>
      </c>
      <c r="E29" s="9" t="s">
        <v>99</v>
      </c>
      <c r="F29" s="9" t="n">
        <v>399</v>
      </c>
      <c r="G29" s="8" t="s">
        <v>193</v>
      </c>
      <c r="H29" s="9" t="s">
        <v>71</v>
      </c>
      <c r="I29" s="9" t="n">
        <v>4</v>
      </c>
      <c r="J29" s="9"/>
      <c r="K29" s="9" t="n">
        <v>64</v>
      </c>
      <c r="L29" s="9" t="n">
        <v>598</v>
      </c>
      <c r="M29" s="9" t="n">
        <v>597</v>
      </c>
      <c r="N29" s="9"/>
      <c r="O29" s="9"/>
      <c r="P29" s="9"/>
      <c r="Q29" s="10" t="s">
        <v>62</v>
      </c>
      <c r="R29" s="9" t="str">
        <f aca="false">IF(Q29="Aprobada","Ya aprobada",IF(Q29="Cursada aprobada","Ya cursada",IF(AND(OR(L29="",COUNTIF($F$2:$F$46,L29)=0,COUNTIFS($F$2:$F$46,L29,$Q$2:$Q$46,"Aprobada")&gt;0,AND(Resumen!$B$15="La cursada aprobada",COUNTIFS($F$2:$F$46,L29,$Q$2:$Q$46,"Cursada aprobada")&gt;0)),OR(M29="",COUNTIF($F$2:$F$46,M29)=0,COUNTIFS($F$2:$F$46,M29,$Q$2:$Q$46,"Aprobada")&gt;0,AND(Resumen!$B$15="La cursada aprobada",COUNTIFS($F$2:$F$46,M29,$Q$2:$Q$46,"Cursada aprobada")&gt;0)),OR(N29="",COUNTIF($F$2:$F$46,N29)=0,COUNTIFS($F$2:$F$46,N29,$Q$2:$Q$46,"Aprobada")&gt;0,AND(Resumen!$B$15="La cursada aprobada",COUNTIFS($F$2:$F$46,N29,$Q$2:$Q$46,"Cursada aprobada")&gt;0)),OR(O29="",COUNTIF($F$2:$F$46,O29)=0,COUNTIFS($F$2:$F$46,O29,$Q$2:$Q$46,"Aprobada")&gt;0,AND(Resumen!$B$15="La cursada aprobada",COUNTIFS($F$2:$F$46,O29,$Q$2:$Q$46,"Cursada aprobada")&gt;0)),OR(P29="",COUNTIF($F$2:$F$46,P29)=0,COUNTIFS($F$2:$F$46,P29,$Q$2:$Q$46,"Aprobada")&gt;0,AND(Resumen!$B$15="La cursada aprobada",COUNTIFS($F$2:$F$46,P29,$Q$2:$Q$46,"Cursada aprobada")&gt;0))),"Sí","No")))</f>
        <v>No</v>
      </c>
      <c r="S29" s="8" t="str">
        <f aca="false">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</f>
        <v>597</v>
      </c>
      <c r="T29" s="9" t="str">
        <f aca="false">IF(Q29="Cursada aprobada",IF(AND(OR(L29="",COUNTIF($F$2:$F$46,L29)=0,COUNTIFS($F$2:$F$46,L29,$Q$2:$Q$46,"Aprobada")&gt;0),OR(M29="",COUNTIF($F$2:$F$46,M29)=0,COUNTIFS($F$2:$F$46,M29,$Q$2:$Q$46,"Aprobada")&gt;0),OR(N29="",COUNTIF($F$2:$F$46,N29)=0,COUNTIFS($F$2:$F$46,N29,$Q$2:$Q$46,"Aprobada")&gt;0),OR(O29="",COUNTIF($F$2:$F$46,O29)=0,COUNTIFS($F$2:$F$46,O29,$Q$2:$Q$46,"Aprobada")&gt;0),OR(P29="",COUNTIF($F$2:$F$46,P29)=0,COUNTIFS($F$2:$F$46,P29,$Q$2:$Q$46,"Aprobada")&gt;0)),"Sí","No"),"")</f>
        <v/>
      </c>
      <c r="U29" s="9" t="str">
        <f aca="false">IF(Q29="Aprobada",TRIM(IF(NOT(OR(L29="",COUNTIF($F$2:$F$46,L29)=0,COUNTIFS($F$2:$F$46,L29,$Q$2:$Q$46,"Aprobada")&gt;0)),L29&amp;" ","")&amp;IF(NOT(OR(M29="",COUNTIF($F$2:$F$46,M29)=0,COUNTIFS($F$2:$F$46,M29,$Q$2:$Q$46,"Aprobada")&gt;0)),M29&amp;" ","")&amp;IF(NOT(OR(N29="",COUNTIF($F$2:$F$46,N29)=0,COUNTIFS($F$2:$F$46,N29,$Q$2:$Q$46,"Aprobada")&gt;0)),N29&amp;" ","")&amp;IF(NOT(OR(O29="",COUNTIF($F$2:$F$46,O29)=0,COUNTIFS($F$2:$F$46,O29,$Q$2:$Q$46,"Aprobada")&gt;0)),O29&amp;" ","")&amp;IF(NOT(OR(P29="",COUNTIF($F$2:$F$46,P29)=0,COUNTIFS($F$2:$F$46,P29,$Q$2:$Q$46,"Aprobada")&gt;0)),P29&amp;" ","")),IF(Q29="Cursada aprobada",TRIM(IF(NOT(OR(L29="",COUNTIF($F$2:$F$46,L29)=0,COUNTIFS($F$2:$F$46,L29,$Q$2:$Q$46,"Aprobada")&gt;0,AND(Resumen!$B$15="La cursada aprobada",COUNTIFS($F$2:$F$46,L29,$Q$2:$Q$46,"Cursada aprobada")&gt;0))),L29&amp;" ","")&amp;IF(NOT(OR(M29="",COUNTIF($F$2:$F$46,M29)=0,COUNTIFS($F$2:$F$46,M29,$Q$2:$Q$46,"Aprobada")&gt;0,AND(Resumen!$B$15="La cursada aprobada",COUNTIFS($F$2:$F$46,M29,$Q$2:$Q$46,"Cursada aprobada")&gt;0))),M29&amp;" ","")&amp;IF(NOT(OR(N29="",COUNTIF($F$2:$F$46,N29)=0,COUNTIFS($F$2:$F$46,N29,$Q$2:$Q$46,"Aprobada")&gt;0,AND(Resumen!$B$15="La cursada aprobada",COUNTIFS($F$2:$F$46,N29,$Q$2:$Q$46,"Cursada aprobada")&gt;0))),N29&amp;" ","")&amp;IF(NOT(OR(O29="",COUNTIF($F$2:$F$46,O29)=0,COUNTIFS($F$2:$F$46,O29,$Q$2:$Q$46,"Aprobada")&gt;0,AND(Resumen!$B$15="La cursada aprobada",COUNTIFS($F$2:$F$46,O29,$Q$2:$Q$46,"Cursada aprobada")&gt;0))),O29&amp;" ","")&amp;IF(NOT(OR(P29="",COUNTIF($F$2:$F$46,P29)=0,COUNTIFS($F$2:$F$46,P29,$Q$2:$Q$46,"Aprobada")&gt;0,AND(Resumen!$B$15="La cursada aprobada",COUNTIFS($F$2:$F$46,P29,$Q$2:$Q$46,"Cursada aprobada")&gt;0))),P29&amp;" ","")),""))</f>
        <v/>
      </c>
    </row>
    <row r="30" customFormat="false" ht="15" hidden="false" customHeight="false" outlineLevel="0" collapsed="false">
      <c r="A30" s="8" t="s">
        <v>83</v>
      </c>
      <c r="B30" s="8"/>
      <c r="C30" s="9" t="n">
        <v>4</v>
      </c>
      <c r="D30" s="9" t="n">
        <v>2</v>
      </c>
      <c r="E30" s="9" t="s">
        <v>174</v>
      </c>
      <c r="F30" s="9" t="n">
        <v>482</v>
      </c>
      <c r="G30" s="8" t="s">
        <v>194</v>
      </c>
      <c r="H30" s="9" t="s">
        <v>61</v>
      </c>
      <c r="I30" s="9" t="n">
        <v>4</v>
      </c>
      <c r="J30" s="9"/>
      <c r="K30" s="9" t="n">
        <v>64</v>
      </c>
      <c r="L30" s="9" t="n">
        <v>349</v>
      </c>
      <c r="M30" s="9"/>
      <c r="N30" s="9"/>
      <c r="O30" s="9"/>
      <c r="P30" s="9"/>
      <c r="Q30" s="10" t="s">
        <v>62</v>
      </c>
      <c r="R30" s="9" t="str">
        <f aca="false">IF(Q30="Aprobada","Ya aprobada",IF(Q30="Cursada aprobada","Ya cursada",IF(AND(OR(L30="",COUNTIF($F$2:$F$46,L30)=0,COUNTIFS($F$2:$F$46,L30,$Q$2:$Q$46,"Aprobada")&gt;0,AND(Resumen!$B$15="La cursada aprobada",COUNTIFS($F$2:$F$46,L30,$Q$2:$Q$46,"Cursada aprobada")&gt;0)),OR(M30="",COUNTIF($F$2:$F$46,M30)=0,COUNTIFS($F$2:$F$46,M30,$Q$2:$Q$46,"Aprobada")&gt;0,AND(Resumen!$B$15="La cursada aprobada",COUNTIFS($F$2:$F$46,M30,$Q$2:$Q$46,"Cursada aprobada")&gt;0)),OR(N30="",COUNTIF($F$2:$F$46,N30)=0,COUNTIFS($F$2:$F$46,N30,$Q$2:$Q$46,"Aprobada")&gt;0,AND(Resumen!$B$15="La cursada aprobada",COUNTIFS($F$2:$F$46,N30,$Q$2:$Q$46,"Cursada aprobada")&gt;0)),OR(O30="",COUNTIF($F$2:$F$46,O30)=0,COUNTIFS($F$2:$F$46,O30,$Q$2:$Q$46,"Aprobada")&gt;0,AND(Resumen!$B$15="La cursada aprobada",COUNTIFS($F$2:$F$46,O30,$Q$2:$Q$46,"Cursada aprobada")&gt;0)),OR(P30="",COUNTIF($F$2:$F$46,P30)=0,COUNTIFS($F$2:$F$46,P30,$Q$2:$Q$46,"Aprobada")&gt;0,AND(Resumen!$B$15="La cursada aprobada",COUNTIFS($F$2:$F$46,P30,$Q$2:$Q$46,"Cursada aprobada")&gt;0))),"Sí","No")))</f>
        <v>No</v>
      </c>
      <c r="S30" s="8" t="str">
        <f aca="false">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</f>
        <v>349</v>
      </c>
      <c r="T30" s="9" t="str">
        <f aca="false">IF(Q30="Cursada aprobada",IF(AND(OR(L30="",COUNTIF($F$2:$F$46,L30)=0,COUNTIFS($F$2:$F$46,L30,$Q$2:$Q$46,"Aprobada")&gt;0),OR(M30="",COUNTIF($F$2:$F$46,M30)=0,COUNTIFS($F$2:$F$46,M30,$Q$2:$Q$46,"Aprobada")&gt;0),OR(N30="",COUNTIF($F$2:$F$46,N30)=0,COUNTIFS($F$2:$F$46,N30,$Q$2:$Q$46,"Aprobada")&gt;0),OR(O30="",COUNTIF($F$2:$F$46,O30)=0,COUNTIFS($F$2:$F$46,O30,$Q$2:$Q$46,"Aprobada")&gt;0),OR(P30="",COUNTIF($F$2:$F$46,P30)=0,COUNTIFS($F$2:$F$46,P30,$Q$2:$Q$46,"Aprobada")&gt;0)),"Sí","No"),"")</f>
        <v/>
      </c>
      <c r="U30" s="9" t="str">
        <f aca="false">IF(Q30="Aprobada",TRIM(IF(NOT(OR(L30="",COUNTIF($F$2:$F$46,L30)=0,COUNTIFS($F$2:$F$46,L30,$Q$2:$Q$46,"Aprobada")&gt;0)),L30&amp;" ","")&amp;IF(NOT(OR(M30="",COUNTIF($F$2:$F$46,M30)=0,COUNTIFS($F$2:$F$46,M30,$Q$2:$Q$46,"Aprobada")&gt;0)),M30&amp;" ","")&amp;IF(NOT(OR(N30="",COUNTIF($F$2:$F$46,N30)=0,COUNTIFS($F$2:$F$46,N30,$Q$2:$Q$46,"Aprobada")&gt;0)),N30&amp;" ","")&amp;IF(NOT(OR(O30="",COUNTIF($F$2:$F$46,O30)=0,COUNTIFS($F$2:$F$46,O30,$Q$2:$Q$46,"Aprobada")&gt;0)),O30&amp;" ","")&amp;IF(NOT(OR(P30="",COUNTIF($F$2:$F$46,P30)=0,COUNTIFS($F$2:$F$46,P30,$Q$2:$Q$46,"Aprobada")&gt;0)),P30&amp;" ","")),IF(Q30="Cursada aprobada",TRIM(IF(NOT(OR(L30="",COUNTIF($F$2:$F$46,L30)=0,COUNTIFS($F$2:$F$46,L30,$Q$2:$Q$46,"Aprobada")&gt;0,AND(Resumen!$B$15="La cursada aprobada",COUNTIFS($F$2:$F$46,L30,$Q$2:$Q$46,"Cursada aprobada")&gt;0))),L30&amp;" ","")&amp;IF(NOT(OR(M30="",COUNTIF($F$2:$F$46,M30)=0,COUNTIFS($F$2:$F$46,M30,$Q$2:$Q$46,"Aprobada")&gt;0,AND(Resumen!$B$15="La cursada aprobada",COUNTIFS($F$2:$F$46,M30,$Q$2:$Q$46,"Cursada aprobada")&gt;0))),M30&amp;" ","")&amp;IF(NOT(OR(N30="",COUNTIF($F$2:$F$46,N30)=0,COUNTIFS($F$2:$F$46,N30,$Q$2:$Q$46,"Aprobada")&gt;0,AND(Resumen!$B$15="La cursada aprobada",COUNTIFS($F$2:$F$46,N30,$Q$2:$Q$46,"Cursada aprobada")&gt;0))),N30&amp;" ","")&amp;IF(NOT(OR(O30="",COUNTIF($F$2:$F$46,O30)=0,COUNTIFS($F$2:$F$46,O30,$Q$2:$Q$46,"Aprobada")&gt;0,AND(Resumen!$B$15="La cursada aprobada",COUNTIFS($F$2:$F$46,O30,$Q$2:$Q$46,"Cursada aprobada")&gt;0))),O30&amp;" ","")&amp;IF(NOT(OR(P30="",COUNTIF($F$2:$F$46,P30)=0,COUNTIFS($F$2:$F$46,P30,$Q$2:$Q$46,"Aprobada")&gt;0,AND(Resumen!$B$15="La cursada aprobada",COUNTIFS($F$2:$F$46,P30,$Q$2:$Q$46,"Cursada aprobada")&gt;0))),P30&amp;" ","")),""))</f>
        <v/>
      </c>
    </row>
    <row r="31" customFormat="false" ht="15" hidden="false" customHeight="false" outlineLevel="0" collapsed="false">
      <c r="A31" s="8" t="s">
        <v>83</v>
      </c>
      <c r="B31" s="8"/>
      <c r="C31" s="9" t="n">
        <v>4</v>
      </c>
      <c r="D31" s="9" t="n">
        <v>2</v>
      </c>
      <c r="E31" s="9" t="s">
        <v>174</v>
      </c>
      <c r="F31" s="9" t="n">
        <v>483</v>
      </c>
      <c r="G31" s="8" t="s">
        <v>195</v>
      </c>
      <c r="H31" s="9" t="s">
        <v>92</v>
      </c>
      <c r="I31" s="9" t="n">
        <v>4</v>
      </c>
      <c r="J31" s="9"/>
      <c r="K31" s="9" t="n">
        <v>64</v>
      </c>
      <c r="L31" s="9" t="n">
        <v>356</v>
      </c>
      <c r="M31" s="9"/>
      <c r="N31" s="9"/>
      <c r="O31" s="9"/>
      <c r="P31" s="9"/>
      <c r="Q31" s="10" t="s">
        <v>62</v>
      </c>
      <c r="R31" s="9" t="str">
        <f aca="false">IF(Q31="Aprobada","Ya aprobada",IF(Q31="Cursada aprobada","Ya cursada",IF(AND(OR(L31="",COUNTIF($F$2:$F$46,L31)=0,COUNTIFS($F$2:$F$46,L31,$Q$2:$Q$46,"Aprobada")&gt;0,AND(Resumen!$B$15="La cursada aprobada",COUNTIFS($F$2:$F$46,L31,$Q$2:$Q$46,"Cursada aprobada")&gt;0)),OR(M31="",COUNTIF($F$2:$F$46,M31)=0,COUNTIFS($F$2:$F$46,M31,$Q$2:$Q$46,"Aprobada")&gt;0,AND(Resumen!$B$15="La cursada aprobada",COUNTIFS($F$2:$F$46,M31,$Q$2:$Q$46,"Cursada aprobada")&gt;0)),OR(N31="",COUNTIF($F$2:$F$46,N31)=0,COUNTIFS($F$2:$F$46,N31,$Q$2:$Q$46,"Aprobada")&gt;0,AND(Resumen!$B$15="La cursada aprobada",COUNTIFS($F$2:$F$46,N31,$Q$2:$Q$46,"Cursada aprobada")&gt;0)),OR(O31="",COUNTIF($F$2:$F$46,O31)=0,COUNTIFS($F$2:$F$46,O31,$Q$2:$Q$46,"Aprobada")&gt;0,AND(Resumen!$B$15="La cursada aprobada",COUNTIFS($F$2:$F$46,O31,$Q$2:$Q$46,"Cursada aprobada")&gt;0)),OR(P31="",COUNTIF($F$2:$F$46,P31)=0,COUNTIFS($F$2:$F$46,P31,$Q$2:$Q$46,"Aprobada")&gt;0,AND(Resumen!$B$15="La cursada aprobada",COUNTIFS($F$2:$F$46,P31,$Q$2:$Q$46,"Cursada aprobada")&gt;0))),"Sí","No")))</f>
        <v>No</v>
      </c>
      <c r="S31" s="8" t="str">
        <f aca="false">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</f>
        <v>356</v>
      </c>
      <c r="T31" s="9" t="str">
        <f aca="false">IF(Q31="Cursada aprobada",IF(AND(OR(L31="",COUNTIF($F$2:$F$46,L31)=0,COUNTIFS($F$2:$F$46,L31,$Q$2:$Q$46,"Aprobada")&gt;0),OR(M31="",COUNTIF($F$2:$F$46,M31)=0,COUNTIFS($F$2:$F$46,M31,$Q$2:$Q$46,"Aprobada")&gt;0),OR(N31="",COUNTIF($F$2:$F$46,N31)=0,COUNTIFS($F$2:$F$46,N31,$Q$2:$Q$46,"Aprobada")&gt;0),OR(O31="",COUNTIF($F$2:$F$46,O31)=0,COUNTIFS($F$2:$F$46,O31,$Q$2:$Q$46,"Aprobada")&gt;0),OR(P31="",COUNTIF($F$2:$F$46,P31)=0,COUNTIFS($F$2:$F$46,P31,$Q$2:$Q$46,"Aprobada")&gt;0)),"Sí","No"),"")</f>
        <v/>
      </c>
      <c r="U31" s="9" t="str">
        <f aca="false">IF(Q31="Aprobada",TRIM(IF(NOT(OR(L31="",COUNTIF($F$2:$F$46,L31)=0,COUNTIFS($F$2:$F$46,L31,$Q$2:$Q$46,"Aprobada")&gt;0)),L31&amp;" ","")&amp;IF(NOT(OR(M31="",COUNTIF($F$2:$F$46,M31)=0,COUNTIFS($F$2:$F$46,M31,$Q$2:$Q$46,"Aprobada")&gt;0)),M31&amp;" ","")&amp;IF(NOT(OR(N31="",COUNTIF($F$2:$F$46,N31)=0,COUNTIFS($F$2:$F$46,N31,$Q$2:$Q$46,"Aprobada")&gt;0)),N31&amp;" ","")&amp;IF(NOT(OR(O31="",COUNTIF($F$2:$F$46,O31)=0,COUNTIFS($F$2:$F$46,O31,$Q$2:$Q$46,"Aprobada")&gt;0)),O31&amp;" ","")&amp;IF(NOT(OR(P31="",COUNTIF($F$2:$F$46,P31)=0,COUNTIFS($F$2:$F$46,P31,$Q$2:$Q$46,"Aprobada")&gt;0)),P31&amp;" ","")),IF(Q31="Cursada aprobada",TRIM(IF(NOT(OR(L31="",COUNTIF($F$2:$F$46,L31)=0,COUNTIFS($F$2:$F$46,L31,$Q$2:$Q$46,"Aprobada")&gt;0,AND(Resumen!$B$15="La cursada aprobada",COUNTIFS($F$2:$F$46,L31,$Q$2:$Q$46,"Cursada aprobada")&gt;0))),L31&amp;" ","")&amp;IF(NOT(OR(M31="",COUNTIF($F$2:$F$46,M31)=0,COUNTIFS($F$2:$F$46,M31,$Q$2:$Q$46,"Aprobada")&gt;0,AND(Resumen!$B$15="La cursada aprobada",COUNTIFS($F$2:$F$46,M31,$Q$2:$Q$46,"Cursada aprobada")&gt;0))),M31&amp;" ","")&amp;IF(NOT(OR(N31="",COUNTIF($F$2:$F$46,N31)=0,COUNTIFS($F$2:$F$46,N31,$Q$2:$Q$46,"Aprobada")&gt;0,AND(Resumen!$B$15="La cursada aprobada",COUNTIFS($F$2:$F$46,N31,$Q$2:$Q$46,"Cursada aprobada")&gt;0))),N31&amp;" ","")&amp;IF(NOT(OR(O31="",COUNTIF($F$2:$F$46,O31)=0,COUNTIFS($F$2:$F$46,O31,$Q$2:$Q$46,"Aprobada")&gt;0,AND(Resumen!$B$15="La cursada aprobada",COUNTIFS($F$2:$F$46,O31,$Q$2:$Q$46,"Cursada aprobada")&gt;0))),O31&amp;" ","")&amp;IF(NOT(OR(P31="",COUNTIF($F$2:$F$46,P31)=0,COUNTIFS($F$2:$F$46,P31,$Q$2:$Q$46,"Aprobada")&gt;0,AND(Resumen!$B$15="La cursada aprobada",COUNTIFS($F$2:$F$46,P31,$Q$2:$Q$46,"Cursada aprobada")&gt;0))),P31&amp;" ","")),""))</f>
        <v/>
      </c>
    </row>
    <row r="32" customFormat="false" ht="15" hidden="false" customHeight="false" outlineLevel="0" collapsed="false">
      <c r="A32" s="8" t="s">
        <v>83</v>
      </c>
      <c r="B32" s="8"/>
      <c r="C32" s="9" t="n">
        <v>4</v>
      </c>
      <c r="D32" s="9" t="n">
        <v>2</v>
      </c>
      <c r="E32" s="9" t="s">
        <v>174</v>
      </c>
      <c r="F32" s="9" t="n">
        <v>434</v>
      </c>
      <c r="G32" s="8" t="s">
        <v>196</v>
      </c>
      <c r="H32" s="9" t="s">
        <v>61</v>
      </c>
      <c r="I32" s="9" t="n">
        <v>4</v>
      </c>
      <c r="J32" s="9"/>
      <c r="K32" s="9" t="n">
        <v>64</v>
      </c>
      <c r="L32" s="9" t="n">
        <v>308</v>
      </c>
      <c r="M32" s="9" t="n">
        <v>465</v>
      </c>
      <c r="N32" s="9"/>
      <c r="O32" s="9"/>
      <c r="P32" s="9"/>
      <c r="Q32" s="10" t="s">
        <v>62</v>
      </c>
      <c r="R32" s="9" t="str">
        <f aca="false">IF(Q32="Aprobada","Ya aprobada",IF(Q32="Cursada aprobada","Ya cursada",IF(AND(OR(L32="",COUNTIF($F$2:$F$46,L32)=0,COUNTIFS($F$2:$F$46,L32,$Q$2:$Q$46,"Aprobada")&gt;0,AND(Resumen!$B$15="La cursada aprobada",COUNTIFS($F$2:$F$46,L32,$Q$2:$Q$46,"Cursada aprobada")&gt;0)),OR(M32="",COUNTIF($F$2:$F$46,M32)=0,COUNTIFS($F$2:$F$46,M32,$Q$2:$Q$46,"Aprobada")&gt;0,AND(Resumen!$B$15="La cursada aprobada",COUNTIFS($F$2:$F$46,M32,$Q$2:$Q$46,"Cursada aprobada")&gt;0)),OR(N32="",COUNTIF($F$2:$F$46,N32)=0,COUNTIFS($F$2:$F$46,N32,$Q$2:$Q$46,"Aprobada")&gt;0,AND(Resumen!$B$15="La cursada aprobada",COUNTIFS($F$2:$F$46,N32,$Q$2:$Q$46,"Cursada aprobada")&gt;0)),OR(O32="",COUNTIF($F$2:$F$46,O32)=0,COUNTIFS($F$2:$F$46,O32,$Q$2:$Q$46,"Aprobada")&gt;0,AND(Resumen!$B$15="La cursada aprobada",COUNTIFS($F$2:$F$46,O32,$Q$2:$Q$46,"Cursada aprobada")&gt;0)),OR(P32="",COUNTIF($F$2:$F$46,P32)=0,COUNTIFS($F$2:$F$46,P32,$Q$2:$Q$46,"Aprobada")&gt;0,AND(Resumen!$B$15="La cursada aprobada",COUNTIFS($F$2:$F$46,P32,$Q$2:$Q$46,"Cursada aprobada")&gt;0))),"Sí","No")))</f>
        <v>No</v>
      </c>
      <c r="S32" s="8" t="str">
        <f aca="false">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</f>
        <v>308 465</v>
      </c>
      <c r="T32" s="9" t="str">
        <f aca="false">IF(Q32="Cursada aprobada",IF(AND(OR(L32="",COUNTIF($F$2:$F$46,L32)=0,COUNTIFS($F$2:$F$46,L32,$Q$2:$Q$46,"Aprobada")&gt;0),OR(M32="",COUNTIF($F$2:$F$46,M32)=0,COUNTIFS($F$2:$F$46,M32,$Q$2:$Q$46,"Aprobada")&gt;0),OR(N32="",COUNTIF($F$2:$F$46,N32)=0,COUNTIFS($F$2:$F$46,N32,$Q$2:$Q$46,"Aprobada")&gt;0),OR(O32="",COUNTIF($F$2:$F$46,O32)=0,COUNTIFS($F$2:$F$46,O32,$Q$2:$Q$46,"Aprobada")&gt;0),OR(P32="",COUNTIF($F$2:$F$46,P32)=0,COUNTIFS($F$2:$F$46,P32,$Q$2:$Q$46,"Aprobada")&gt;0)),"Sí","No"),"")</f>
        <v/>
      </c>
      <c r="U32" s="9" t="str">
        <f aca="false">IF(Q32="Aprobada",TRIM(IF(NOT(OR(L32="",COUNTIF($F$2:$F$46,L32)=0,COUNTIFS($F$2:$F$46,L32,$Q$2:$Q$46,"Aprobada")&gt;0)),L32&amp;" ","")&amp;IF(NOT(OR(M32="",COUNTIF($F$2:$F$46,M32)=0,COUNTIFS($F$2:$F$46,M32,$Q$2:$Q$46,"Aprobada")&gt;0)),M32&amp;" ","")&amp;IF(NOT(OR(N32="",COUNTIF($F$2:$F$46,N32)=0,COUNTIFS($F$2:$F$46,N32,$Q$2:$Q$46,"Aprobada")&gt;0)),N32&amp;" ","")&amp;IF(NOT(OR(O32="",COUNTIF($F$2:$F$46,O32)=0,COUNTIFS($F$2:$F$46,O32,$Q$2:$Q$46,"Aprobada")&gt;0)),O32&amp;" ","")&amp;IF(NOT(OR(P32="",COUNTIF($F$2:$F$46,P32)=0,COUNTIFS($F$2:$F$46,P32,$Q$2:$Q$46,"Aprobada")&gt;0)),P32&amp;" ","")),IF(Q32="Cursada aprobada",TRIM(IF(NOT(OR(L32="",COUNTIF($F$2:$F$46,L32)=0,COUNTIFS($F$2:$F$46,L32,$Q$2:$Q$46,"Aprobada")&gt;0,AND(Resumen!$B$15="La cursada aprobada",COUNTIFS($F$2:$F$46,L32,$Q$2:$Q$46,"Cursada aprobada")&gt;0))),L32&amp;" ","")&amp;IF(NOT(OR(M32="",COUNTIF($F$2:$F$46,M32)=0,COUNTIFS($F$2:$F$46,M32,$Q$2:$Q$46,"Aprobada")&gt;0,AND(Resumen!$B$15="La cursada aprobada",COUNTIFS($F$2:$F$46,M32,$Q$2:$Q$46,"Cursada aprobada")&gt;0))),M32&amp;" ","")&amp;IF(NOT(OR(N32="",COUNTIF($F$2:$F$46,N32)=0,COUNTIFS($F$2:$F$46,N32,$Q$2:$Q$46,"Aprobada")&gt;0,AND(Resumen!$B$15="La cursada aprobada",COUNTIFS($F$2:$F$46,N32,$Q$2:$Q$46,"Cursada aprobada")&gt;0))),N32&amp;" ","")&amp;IF(NOT(OR(O32="",COUNTIF($F$2:$F$46,O32)=0,COUNTIFS($F$2:$F$46,O32,$Q$2:$Q$46,"Aprobada")&gt;0,AND(Resumen!$B$15="La cursada aprobada",COUNTIFS($F$2:$F$46,O32,$Q$2:$Q$46,"Cursada aprobada")&gt;0))),O32&amp;" ","")&amp;IF(NOT(OR(P32="",COUNTIF($F$2:$F$46,P32)=0,COUNTIFS($F$2:$F$46,P32,$Q$2:$Q$46,"Aprobada")&gt;0,AND(Resumen!$B$15="La cursada aprobada",COUNTIFS($F$2:$F$46,P32,$Q$2:$Q$46,"Cursada aprobada")&gt;0))),P32&amp;" ","")),""))</f>
        <v/>
      </c>
    </row>
    <row r="33" customFormat="false" ht="15" hidden="false" customHeight="false" outlineLevel="0" collapsed="false">
      <c r="A33" s="8" t="s">
        <v>83</v>
      </c>
      <c r="B33" s="8"/>
      <c r="C33" s="9" t="n">
        <v>5</v>
      </c>
      <c r="D33" s="9" t="n">
        <v>1</v>
      </c>
      <c r="E33" s="9" t="s">
        <v>174</v>
      </c>
      <c r="F33" s="9" t="n">
        <v>508</v>
      </c>
      <c r="G33" s="8" t="s">
        <v>197</v>
      </c>
      <c r="H33" s="9" t="s">
        <v>61</v>
      </c>
      <c r="I33" s="9" t="n">
        <v>6</v>
      </c>
      <c r="J33" s="9"/>
      <c r="K33" s="9" t="n">
        <v>96</v>
      </c>
      <c r="L33" s="9" t="n">
        <v>113</v>
      </c>
      <c r="M33" s="9"/>
      <c r="N33" s="9"/>
      <c r="O33" s="9"/>
      <c r="P33" s="9"/>
      <c r="Q33" s="10" t="s">
        <v>62</v>
      </c>
      <c r="R33" s="9" t="str">
        <f aca="false">IF(Q33="Aprobada","Ya aprobada",IF(Q33="Cursada aprobada","Ya cursada",IF(AND(OR(L33="",COUNTIF($F$2:$F$46,L33)=0,COUNTIFS($F$2:$F$46,L33,$Q$2:$Q$46,"Aprobada")&gt;0,AND(Resumen!$B$15="La cursada aprobada",COUNTIFS($F$2:$F$46,L33,$Q$2:$Q$46,"Cursada aprobada")&gt;0)),OR(M33="",COUNTIF($F$2:$F$46,M33)=0,COUNTIFS($F$2:$F$46,M33,$Q$2:$Q$46,"Aprobada")&gt;0,AND(Resumen!$B$15="La cursada aprobada",COUNTIFS($F$2:$F$46,M33,$Q$2:$Q$46,"Cursada aprobada")&gt;0)),OR(N33="",COUNTIF($F$2:$F$46,N33)=0,COUNTIFS($F$2:$F$46,N33,$Q$2:$Q$46,"Aprobada")&gt;0,AND(Resumen!$B$15="La cursada aprobada",COUNTIFS($F$2:$F$46,N33,$Q$2:$Q$46,"Cursada aprobada")&gt;0)),OR(O33="",COUNTIF($F$2:$F$46,O33)=0,COUNTIFS($F$2:$F$46,O33,$Q$2:$Q$46,"Aprobada")&gt;0,AND(Resumen!$B$15="La cursada aprobada",COUNTIFS($F$2:$F$46,O33,$Q$2:$Q$46,"Cursada aprobada")&gt;0)),OR(P33="",COUNTIF($F$2:$F$46,P33)=0,COUNTIFS($F$2:$F$46,P33,$Q$2:$Q$46,"Aprobada")&gt;0,AND(Resumen!$B$15="La cursada aprobada",COUNTIFS($F$2:$F$46,P33,$Q$2:$Q$46,"Cursada aprobada")&gt;0))),"Sí","No")))</f>
        <v>No</v>
      </c>
      <c r="S33" s="8" t="str">
        <f aca="false">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</f>
        <v>113</v>
      </c>
      <c r="T33" s="9" t="str">
        <f aca="false">IF(Q33="Cursada aprobada",IF(AND(OR(L33="",COUNTIF($F$2:$F$46,L33)=0,COUNTIFS($F$2:$F$46,L33,$Q$2:$Q$46,"Aprobada")&gt;0),OR(M33="",COUNTIF($F$2:$F$46,M33)=0,COUNTIFS($F$2:$F$46,M33,$Q$2:$Q$46,"Aprobada")&gt;0),OR(N33="",COUNTIF($F$2:$F$46,N33)=0,COUNTIFS($F$2:$F$46,N33,$Q$2:$Q$46,"Aprobada")&gt;0),OR(O33="",COUNTIF($F$2:$F$46,O33)=0,COUNTIFS($F$2:$F$46,O33,$Q$2:$Q$46,"Aprobada")&gt;0),OR(P33="",COUNTIF($F$2:$F$46,P33)=0,COUNTIFS($F$2:$F$46,P33,$Q$2:$Q$46,"Aprobada")&gt;0)),"Sí","No"),"")</f>
        <v/>
      </c>
      <c r="U33" s="9" t="str">
        <f aca="false">IF(Q33="Aprobada",TRIM(IF(NOT(OR(L33="",COUNTIF($F$2:$F$46,L33)=0,COUNTIFS($F$2:$F$46,L33,$Q$2:$Q$46,"Aprobada")&gt;0)),L33&amp;" ","")&amp;IF(NOT(OR(M33="",COUNTIF($F$2:$F$46,M33)=0,COUNTIFS($F$2:$F$46,M33,$Q$2:$Q$46,"Aprobada")&gt;0)),M33&amp;" ","")&amp;IF(NOT(OR(N33="",COUNTIF($F$2:$F$46,N33)=0,COUNTIFS($F$2:$F$46,N33,$Q$2:$Q$46,"Aprobada")&gt;0)),N33&amp;" ","")&amp;IF(NOT(OR(O33="",COUNTIF($F$2:$F$46,O33)=0,COUNTIFS($F$2:$F$46,O33,$Q$2:$Q$46,"Aprobada")&gt;0)),O33&amp;" ","")&amp;IF(NOT(OR(P33="",COUNTIF($F$2:$F$46,P33)=0,COUNTIFS($F$2:$F$46,P33,$Q$2:$Q$46,"Aprobada")&gt;0)),P33&amp;" ","")),IF(Q33="Cursada aprobada",TRIM(IF(NOT(OR(L33="",COUNTIF($F$2:$F$46,L33)=0,COUNTIFS($F$2:$F$46,L33,$Q$2:$Q$46,"Aprobada")&gt;0,AND(Resumen!$B$15="La cursada aprobada",COUNTIFS($F$2:$F$46,L33,$Q$2:$Q$46,"Cursada aprobada")&gt;0))),L33&amp;" ","")&amp;IF(NOT(OR(M33="",COUNTIF($F$2:$F$46,M33)=0,COUNTIFS($F$2:$F$46,M33,$Q$2:$Q$46,"Aprobada")&gt;0,AND(Resumen!$B$15="La cursada aprobada",COUNTIFS($F$2:$F$46,M33,$Q$2:$Q$46,"Cursada aprobada")&gt;0))),M33&amp;" ","")&amp;IF(NOT(OR(N33="",COUNTIF($F$2:$F$46,N33)=0,COUNTIFS($F$2:$F$46,N33,$Q$2:$Q$46,"Aprobada")&gt;0,AND(Resumen!$B$15="La cursada aprobada",COUNTIFS($F$2:$F$46,N33,$Q$2:$Q$46,"Cursada aprobada")&gt;0))),N33&amp;" ","")&amp;IF(NOT(OR(O33="",COUNTIF($F$2:$F$46,O33)=0,COUNTIFS($F$2:$F$46,O33,$Q$2:$Q$46,"Aprobada")&gt;0,AND(Resumen!$B$15="La cursada aprobada",COUNTIFS($F$2:$F$46,O33,$Q$2:$Q$46,"Cursada aprobada")&gt;0))),O33&amp;" ","")&amp;IF(NOT(OR(P33="",COUNTIF($F$2:$F$46,P33)=0,COUNTIFS($F$2:$F$46,P33,$Q$2:$Q$46,"Aprobada")&gt;0,AND(Resumen!$B$15="La cursada aprobada",COUNTIFS($F$2:$F$46,P33,$Q$2:$Q$46,"Cursada aprobada")&gt;0))),P33&amp;" ","")),""))</f>
        <v/>
      </c>
    </row>
    <row r="34" customFormat="false" ht="15" hidden="false" customHeight="false" outlineLevel="0" collapsed="false">
      <c r="A34" s="8" t="s">
        <v>83</v>
      </c>
      <c r="B34" s="8"/>
      <c r="C34" s="9" t="n">
        <v>5</v>
      </c>
      <c r="D34" s="9" t="n">
        <v>1</v>
      </c>
      <c r="E34" s="9" t="s">
        <v>174</v>
      </c>
      <c r="F34" s="9" t="n">
        <v>583</v>
      </c>
      <c r="G34" s="8" t="s">
        <v>198</v>
      </c>
      <c r="H34" s="9" t="s">
        <v>92</v>
      </c>
      <c r="I34" s="9" t="n">
        <v>6</v>
      </c>
      <c r="J34" s="9"/>
      <c r="K34" s="9" t="n">
        <v>96</v>
      </c>
      <c r="L34" s="9" t="n">
        <v>349</v>
      </c>
      <c r="M34" s="9" t="n">
        <v>432</v>
      </c>
      <c r="N34" s="9"/>
      <c r="O34" s="9"/>
      <c r="P34" s="9"/>
      <c r="Q34" s="10" t="s">
        <v>62</v>
      </c>
      <c r="R34" s="9" t="str">
        <f aca="false">IF(Q34="Aprobada","Ya aprobada",IF(Q34="Cursada aprobada","Ya cursada",IF(AND(OR(L34="",COUNTIF($F$2:$F$46,L34)=0,COUNTIFS($F$2:$F$46,L34,$Q$2:$Q$46,"Aprobada")&gt;0,AND(Resumen!$B$15="La cursada aprobada",COUNTIFS($F$2:$F$46,L34,$Q$2:$Q$46,"Cursada aprobada")&gt;0)),OR(M34="",COUNTIF($F$2:$F$46,M34)=0,COUNTIFS($F$2:$F$46,M34,$Q$2:$Q$46,"Aprobada")&gt;0,AND(Resumen!$B$15="La cursada aprobada",COUNTIFS($F$2:$F$46,M34,$Q$2:$Q$46,"Cursada aprobada")&gt;0)),OR(N34="",COUNTIF($F$2:$F$46,N34)=0,COUNTIFS($F$2:$F$46,N34,$Q$2:$Q$46,"Aprobada")&gt;0,AND(Resumen!$B$15="La cursada aprobada",COUNTIFS($F$2:$F$46,N34,$Q$2:$Q$46,"Cursada aprobada")&gt;0)),OR(O34="",COUNTIF($F$2:$F$46,O34)=0,COUNTIFS($F$2:$F$46,O34,$Q$2:$Q$46,"Aprobada")&gt;0,AND(Resumen!$B$15="La cursada aprobada",COUNTIFS($F$2:$F$46,O34,$Q$2:$Q$46,"Cursada aprobada")&gt;0)),OR(P34="",COUNTIF($F$2:$F$46,P34)=0,COUNTIFS($F$2:$F$46,P34,$Q$2:$Q$46,"Aprobada")&gt;0,AND(Resumen!$B$15="La cursada aprobada",COUNTIFS($F$2:$F$46,P34,$Q$2:$Q$46,"Cursada aprobada")&gt;0))),"Sí","No")))</f>
        <v>No</v>
      </c>
      <c r="S34" s="8" t="str">
        <f aca="false">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</f>
        <v>349 432</v>
      </c>
      <c r="T34" s="9" t="str">
        <f aca="false">IF(Q34="Cursada aprobada",IF(AND(OR(L34="",COUNTIF($F$2:$F$46,L34)=0,COUNTIFS($F$2:$F$46,L34,$Q$2:$Q$46,"Aprobada")&gt;0),OR(M34="",COUNTIF($F$2:$F$46,M34)=0,COUNTIFS($F$2:$F$46,M34,$Q$2:$Q$46,"Aprobada")&gt;0),OR(N34="",COUNTIF($F$2:$F$46,N34)=0,COUNTIFS($F$2:$F$46,N34,$Q$2:$Q$46,"Aprobada")&gt;0),OR(O34="",COUNTIF($F$2:$F$46,O34)=0,COUNTIFS($F$2:$F$46,O34,$Q$2:$Q$46,"Aprobada")&gt;0),OR(P34="",COUNTIF($F$2:$F$46,P34)=0,COUNTIFS($F$2:$F$46,P34,$Q$2:$Q$46,"Aprobada")&gt;0)),"Sí","No"),"")</f>
        <v/>
      </c>
      <c r="U34" s="9" t="str">
        <f aca="false">IF(Q34="Aprobada",TRIM(IF(NOT(OR(L34="",COUNTIF($F$2:$F$46,L34)=0,COUNTIFS($F$2:$F$46,L34,$Q$2:$Q$46,"Aprobada")&gt;0)),L34&amp;" ","")&amp;IF(NOT(OR(M34="",COUNTIF($F$2:$F$46,M34)=0,COUNTIFS($F$2:$F$46,M34,$Q$2:$Q$46,"Aprobada")&gt;0)),M34&amp;" ","")&amp;IF(NOT(OR(N34="",COUNTIF($F$2:$F$46,N34)=0,COUNTIFS($F$2:$F$46,N34,$Q$2:$Q$46,"Aprobada")&gt;0)),N34&amp;" ","")&amp;IF(NOT(OR(O34="",COUNTIF($F$2:$F$46,O34)=0,COUNTIFS($F$2:$F$46,O34,$Q$2:$Q$46,"Aprobada")&gt;0)),O34&amp;" ","")&amp;IF(NOT(OR(P34="",COUNTIF($F$2:$F$46,P34)=0,COUNTIFS($F$2:$F$46,P34,$Q$2:$Q$46,"Aprobada")&gt;0)),P34&amp;" ","")),IF(Q34="Cursada aprobada",TRIM(IF(NOT(OR(L34="",COUNTIF($F$2:$F$46,L34)=0,COUNTIFS($F$2:$F$46,L34,$Q$2:$Q$46,"Aprobada")&gt;0,AND(Resumen!$B$15="La cursada aprobada",COUNTIFS($F$2:$F$46,L34,$Q$2:$Q$46,"Cursada aprobada")&gt;0))),L34&amp;" ","")&amp;IF(NOT(OR(M34="",COUNTIF($F$2:$F$46,M34)=0,COUNTIFS($F$2:$F$46,M34,$Q$2:$Q$46,"Aprobada")&gt;0,AND(Resumen!$B$15="La cursada aprobada",COUNTIFS($F$2:$F$46,M34,$Q$2:$Q$46,"Cursada aprobada")&gt;0))),M34&amp;" ","")&amp;IF(NOT(OR(N34="",COUNTIF($F$2:$F$46,N34)=0,COUNTIFS($F$2:$F$46,N34,$Q$2:$Q$46,"Aprobada")&gt;0,AND(Resumen!$B$15="La cursada aprobada",COUNTIFS($F$2:$F$46,N34,$Q$2:$Q$46,"Cursada aprobada")&gt;0))),N34&amp;" ","")&amp;IF(NOT(OR(O34="",COUNTIF($F$2:$F$46,O34)=0,COUNTIFS($F$2:$F$46,O34,$Q$2:$Q$46,"Aprobada")&gt;0,AND(Resumen!$B$15="La cursada aprobada",COUNTIFS($F$2:$F$46,O34,$Q$2:$Q$46,"Cursada aprobada")&gt;0))),O34&amp;" ","")&amp;IF(NOT(OR(P34="",COUNTIF($F$2:$F$46,P34)=0,COUNTIFS($F$2:$F$46,P34,$Q$2:$Q$46,"Aprobada")&gt;0,AND(Resumen!$B$15="La cursada aprobada",COUNTIFS($F$2:$F$46,P34,$Q$2:$Q$46,"Cursada aprobada")&gt;0))),P34&amp;" ","")),""))</f>
        <v/>
      </c>
    </row>
    <row r="35" customFormat="false" ht="15" hidden="false" customHeight="false" outlineLevel="0" collapsed="false">
      <c r="A35" s="8" t="s">
        <v>83</v>
      </c>
      <c r="B35" s="8"/>
      <c r="C35" s="9" t="n">
        <v>5</v>
      </c>
      <c r="D35" s="9" t="n">
        <v>1</v>
      </c>
      <c r="E35" s="9" t="s">
        <v>99</v>
      </c>
      <c r="F35" s="9" t="n">
        <v>499</v>
      </c>
      <c r="G35" s="8" t="s">
        <v>100</v>
      </c>
      <c r="H35" s="9" t="s">
        <v>92</v>
      </c>
      <c r="I35" s="9" t="n">
        <v>2</v>
      </c>
      <c r="J35" s="9"/>
      <c r="K35" s="9" t="n">
        <v>32</v>
      </c>
      <c r="L35" s="9"/>
      <c r="M35" s="9"/>
      <c r="N35" s="9"/>
      <c r="O35" s="9"/>
      <c r="P35" s="9"/>
      <c r="Q35" s="10" t="s">
        <v>62</v>
      </c>
      <c r="R35" s="9" t="str">
        <f aca="false">IF(Q35="Aprobada","Ya aprobada",IF(Q35="Cursada aprobada","Ya cursada",IF(AND(OR(L35="",COUNTIF($F$2:$F$46,L35)=0,COUNTIFS($F$2:$F$46,L35,$Q$2:$Q$46,"Aprobada")&gt;0,AND(Resumen!$B$15="La cursada aprobada",COUNTIFS($F$2:$F$46,L35,$Q$2:$Q$46,"Cursada aprobada")&gt;0)),OR(M35="",COUNTIF($F$2:$F$46,M35)=0,COUNTIFS($F$2:$F$46,M35,$Q$2:$Q$46,"Aprobada")&gt;0,AND(Resumen!$B$15="La cursada aprobada",COUNTIFS($F$2:$F$46,M35,$Q$2:$Q$46,"Cursada aprobada")&gt;0)),OR(N35="",COUNTIF($F$2:$F$46,N35)=0,COUNTIFS($F$2:$F$46,N35,$Q$2:$Q$46,"Aprobada")&gt;0,AND(Resumen!$B$15="La cursada aprobada",COUNTIFS($F$2:$F$46,N35,$Q$2:$Q$46,"Cursada aprobada")&gt;0)),OR(O35="",COUNTIF($F$2:$F$46,O35)=0,COUNTIFS($F$2:$F$46,O35,$Q$2:$Q$46,"Aprobada")&gt;0,AND(Resumen!$B$15="La cursada aprobada",COUNTIFS($F$2:$F$46,O35,$Q$2:$Q$46,"Cursada aprobada")&gt;0)),OR(P35="",COUNTIF($F$2:$F$46,P35)=0,COUNTIFS($F$2:$F$46,P35,$Q$2:$Q$46,"Aprobada")&gt;0,AND(Resumen!$B$15="La cursada aprobada",COUNTIFS($F$2:$F$46,P35,$Q$2:$Q$46,"Cursada aprobada")&gt;0))),"Sí","No")))</f>
        <v>Sí</v>
      </c>
      <c r="S35" s="8" t="str">
        <f aca="false">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</f>
        <v/>
      </c>
      <c r="T35" s="9" t="str">
        <f aca="false">IF(Q35="Cursada aprobada",IF(AND(OR(L35="",COUNTIF($F$2:$F$46,L35)=0,COUNTIFS($F$2:$F$46,L35,$Q$2:$Q$46,"Aprobada")&gt;0),OR(M35="",COUNTIF($F$2:$F$46,M35)=0,COUNTIFS($F$2:$F$46,M35,$Q$2:$Q$46,"Aprobada")&gt;0),OR(N35="",COUNTIF($F$2:$F$46,N35)=0,COUNTIFS($F$2:$F$46,N35,$Q$2:$Q$46,"Aprobada")&gt;0),OR(O35="",COUNTIF($F$2:$F$46,O35)=0,COUNTIFS($F$2:$F$46,O35,$Q$2:$Q$46,"Aprobada")&gt;0),OR(P35="",COUNTIF($F$2:$F$46,P35)=0,COUNTIFS($F$2:$F$46,P35,$Q$2:$Q$46,"Aprobada")&gt;0)),"Sí","No"),"")</f>
        <v/>
      </c>
      <c r="U35" s="9" t="str">
        <f aca="false">IF(Q35="Aprobada",TRIM(IF(NOT(OR(L35="",COUNTIF($F$2:$F$46,L35)=0,COUNTIFS($F$2:$F$46,L35,$Q$2:$Q$46,"Aprobada")&gt;0)),L35&amp;" ","")&amp;IF(NOT(OR(M35="",COUNTIF($F$2:$F$46,M35)=0,COUNTIFS($F$2:$F$46,M35,$Q$2:$Q$46,"Aprobada")&gt;0)),M35&amp;" ","")&amp;IF(NOT(OR(N35="",COUNTIF($F$2:$F$46,N35)=0,COUNTIFS($F$2:$F$46,N35,$Q$2:$Q$46,"Aprobada")&gt;0)),N35&amp;" ","")&amp;IF(NOT(OR(O35="",COUNTIF($F$2:$F$46,O35)=0,COUNTIFS($F$2:$F$46,O35,$Q$2:$Q$46,"Aprobada")&gt;0)),O35&amp;" ","")&amp;IF(NOT(OR(P35="",COUNTIF($F$2:$F$46,P35)=0,COUNTIFS($F$2:$F$46,P35,$Q$2:$Q$46,"Aprobada")&gt;0)),P35&amp;" ","")),IF(Q35="Cursada aprobada",TRIM(IF(NOT(OR(L35="",COUNTIF($F$2:$F$46,L35)=0,COUNTIFS($F$2:$F$46,L35,$Q$2:$Q$46,"Aprobada")&gt;0,AND(Resumen!$B$15="La cursada aprobada",COUNTIFS($F$2:$F$46,L35,$Q$2:$Q$46,"Cursada aprobada")&gt;0))),L35&amp;" ","")&amp;IF(NOT(OR(M35="",COUNTIF($F$2:$F$46,M35)=0,COUNTIFS($F$2:$F$46,M35,$Q$2:$Q$46,"Aprobada")&gt;0,AND(Resumen!$B$15="La cursada aprobada",COUNTIFS($F$2:$F$46,M35,$Q$2:$Q$46,"Cursada aprobada")&gt;0))),M35&amp;" ","")&amp;IF(NOT(OR(N35="",COUNTIF($F$2:$F$46,N35)=0,COUNTIFS($F$2:$F$46,N35,$Q$2:$Q$46,"Aprobada")&gt;0,AND(Resumen!$B$15="La cursada aprobada",COUNTIFS($F$2:$F$46,N35,$Q$2:$Q$46,"Cursada aprobada")&gt;0))),N35&amp;" ","")&amp;IF(NOT(OR(O35="",COUNTIF($F$2:$F$46,O35)=0,COUNTIFS($F$2:$F$46,O35,$Q$2:$Q$46,"Aprobada")&gt;0,AND(Resumen!$B$15="La cursada aprobada",COUNTIFS($F$2:$F$46,O35,$Q$2:$Q$46,"Cursada aprobada")&gt;0))),O35&amp;" ","")&amp;IF(NOT(OR(P35="",COUNTIF($F$2:$F$46,P35)=0,COUNTIFS($F$2:$F$46,P35,$Q$2:$Q$46,"Aprobada")&gt;0,AND(Resumen!$B$15="La cursada aprobada",COUNTIFS($F$2:$F$46,P35,$Q$2:$Q$46,"Cursada aprobada")&gt;0))),P35&amp;" ","")),""))</f>
        <v/>
      </c>
    </row>
    <row r="36" customFormat="false" ht="15" hidden="false" customHeight="false" outlineLevel="0" collapsed="false">
      <c r="A36" s="8" t="s">
        <v>83</v>
      </c>
      <c r="B36" s="8"/>
      <c r="C36" s="9" t="n">
        <v>5</v>
      </c>
      <c r="D36" s="9" t="n">
        <v>2</v>
      </c>
      <c r="E36" s="9" t="s">
        <v>174</v>
      </c>
      <c r="F36" s="9" t="n">
        <v>509</v>
      </c>
      <c r="G36" s="8" t="s">
        <v>199</v>
      </c>
      <c r="H36" s="9" t="s">
        <v>92</v>
      </c>
      <c r="I36" s="9" t="n">
        <v>4</v>
      </c>
      <c r="J36" s="9"/>
      <c r="K36" s="9" t="n">
        <v>64</v>
      </c>
      <c r="L36" s="9" t="n">
        <v>325</v>
      </c>
      <c r="M36" s="9" t="n">
        <v>481</v>
      </c>
      <c r="N36" s="9" t="n">
        <v>482</v>
      </c>
      <c r="O36" s="9"/>
      <c r="P36" s="9"/>
      <c r="Q36" s="10" t="s">
        <v>62</v>
      </c>
      <c r="R36" s="9" t="str">
        <f aca="false">IF(Q36="Aprobada","Ya aprobada",IF(Q36="Cursada aprobada","Ya cursada",IF(AND(OR(L36="",COUNTIF($F$2:$F$46,L36)=0,COUNTIFS($F$2:$F$46,L36,$Q$2:$Q$46,"Aprobada")&gt;0,AND(Resumen!$B$15="La cursada aprobada",COUNTIFS($F$2:$F$46,L36,$Q$2:$Q$46,"Cursada aprobada")&gt;0)),OR(M36="",COUNTIF($F$2:$F$46,M36)=0,COUNTIFS($F$2:$F$46,M36,$Q$2:$Q$46,"Aprobada")&gt;0,AND(Resumen!$B$15="La cursada aprobada",COUNTIFS($F$2:$F$46,M36,$Q$2:$Q$46,"Cursada aprobada")&gt;0)),OR(N36="",COUNTIF($F$2:$F$46,N36)=0,COUNTIFS($F$2:$F$46,N36,$Q$2:$Q$46,"Aprobada")&gt;0,AND(Resumen!$B$15="La cursada aprobada",COUNTIFS($F$2:$F$46,N36,$Q$2:$Q$46,"Cursada aprobada")&gt;0)),OR(O36="",COUNTIF($F$2:$F$46,O36)=0,COUNTIFS($F$2:$F$46,O36,$Q$2:$Q$46,"Aprobada")&gt;0,AND(Resumen!$B$15="La cursada aprobada",COUNTIFS($F$2:$F$46,O36,$Q$2:$Q$46,"Cursada aprobada")&gt;0)),OR(P36="",COUNTIF($F$2:$F$46,P36)=0,COUNTIFS($F$2:$F$46,P36,$Q$2:$Q$46,"Aprobada")&gt;0,AND(Resumen!$B$15="La cursada aprobada",COUNTIFS($F$2:$F$46,P36,$Q$2:$Q$46,"Cursada aprobada")&gt;0))),"Sí","No")))</f>
        <v>No</v>
      </c>
      <c r="S36" s="8" t="str">
        <f aca="false">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</f>
        <v>325 481 482</v>
      </c>
      <c r="T36" s="9" t="str">
        <f aca="false">IF(Q36="Cursada aprobada",IF(AND(OR(L36="",COUNTIF($F$2:$F$46,L36)=0,COUNTIFS($F$2:$F$46,L36,$Q$2:$Q$46,"Aprobada")&gt;0),OR(M36="",COUNTIF($F$2:$F$46,M36)=0,COUNTIFS($F$2:$F$46,M36,$Q$2:$Q$46,"Aprobada")&gt;0),OR(N36="",COUNTIF($F$2:$F$46,N36)=0,COUNTIFS($F$2:$F$46,N36,$Q$2:$Q$46,"Aprobada")&gt;0),OR(O36="",COUNTIF($F$2:$F$46,O36)=0,COUNTIFS($F$2:$F$46,O36,$Q$2:$Q$46,"Aprobada")&gt;0),OR(P36="",COUNTIF($F$2:$F$46,P36)=0,COUNTIFS($F$2:$F$46,P36,$Q$2:$Q$46,"Aprobada")&gt;0)),"Sí","No"),"")</f>
        <v/>
      </c>
      <c r="U36" s="9" t="str">
        <f aca="false">IF(Q36="Aprobada",TRIM(IF(NOT(OR(L36="",COUNTIF($F$2:$F$46,L36)=0,COUNTIFS($F$2:$F$46,L36,$Q$2:$Q$46,"Aprobada")&gt;0)),L36&amp;" ","")&amp;IF(NOT(OR(M36="",COUNTIF($F$2:$F$46,M36)=0,COUNTIFS($F$2:$F$46,M36,$Q$2:$Q$46,"Aprobada")&gt;0)),M36&amp;" ","")&amp;IF(NOT(OR(N36="",COUNTIF($F$2:$F$46,N36)=0,COUNTIFS($F$2:$F$46,N36,$Q$2:$Q$46,"Aprobada")&gt;0)),N36&amp;" ","")&amp;IF(NOT(OR(O36="",COUNTIF($F$2:$F$46,O36)=0,COUNTIFS($F$2:$F$46,O36,$Q$2:$Q$46,"Aprobada")&gt;0)),O36&amp;" ","")&amp;IF(NOT(OR(P36="",COUNTIF($F$2:$F$46,P36)=0,COUNTIFS($F$2:$F$46,P36,$Q$2:$Q$46,"Aprobada")&gt;0)),P36&amp;" ","")),IF(Q36="Cursada aprobada",TRIM(IF(NOT(OR(L36="",COUNTIF($F$2:$F$46,L36)=0,COUNTIFS($F$2:$F$46,L36,$Q$2:$Q$46,"Aprobada")&gt;0,AND(Resumen!$B$15="La cursada aprobada",COUNTIFS($F$2:$F$46,L36,$Q$2:$Q$46,"Cursada aprobada")&gt;0))),L36&amp;" ","")&amp;IF(NOT(OR(M36="",COUNTIF($F$2:$F$46,M36)=0,COUNTIFS($F$2:$F$46,M36,$Q$2:$Q$46,"Aprobada")&gt;0,AND(Resumen!$B$15="La cursada aprobada",COUNTIFS($F$2:$F$46,M36,$Q$2:$Q$46,"Cursada aprobada")&gt;0))),M36&amp;" ","")&amp;IF(NOT(OR(N36="",COUNTIF($F$2:$F$46,N36)=0,COUNTIFS($F$2:$F$46,N36,$Q$2:$Q$46,"Aprobada")&gt;0,AND(Resumen!$B$15="La cursada aprobada",COUNTIFS($F$2:$F$46,N36,$Q$2:$Q$46,"Cursada aprobada")&gt;0))),N36&amp;" ","")&amp;IF(NOT(OR(O36="",COUNTIF($F$2:$F$46,O36)=0,COUNTIFS($F$2:$F$46,O36,$Q$2:$Q$46,"Aprobada")&gt;0,AND(Resumen!$B$15="La cursada aprobada",COUNTIFS($F$2:$F$46,O36,$Q$2:$Q$46,"Cursada aprobada")&gt;0))),O36&amp;" ","")&amp;IF(NOT(OR(P36="",COUNTIF($F$2:$F$46,P36)=0,COUNTIFS($F$2:$F$46,P36,$Q$2:$Q$46,"Aprobada")&gt;0,AND(Resumen!$B$15="La cursada aprobada",COUNTIFS($F$2:$F$46,P36,$Q$2:$Q$46,"Cursada aprobada")&gt;0))),P36&amp;" ","")),""))</f>
        <v/>
      </c>
    </row>
    <row r="37" customFormat="false" ht="15" hidden="false" customHeight="false" outlineLevel="0" collapsed="false">
      <c r="A37" s="8" t="s">
        <v>105</v>
      </c>
      <c r="B37" s="8" t="s">
        <v>200</v>
      </c>
      <c r="C37" s="9" t="n">
        <v>5</v>
      </c>
      <c r="D37" s="9" t="n">
        <v>2</v>
      </c>
      <c r="E37" s="9" t="s">
        <v>59</v>
      </c>
      <c r="F37" s="9" t="n">
        <v>550</v>
      </c>
      <c r="G37" s="8" t="s">
        <v>146</v>
      </c>
      <c r="H37" s="9"/>
      <c r="I37" s="9" t="n">
        <v>4</v>
      </c>
      <c r="J37" s="9"/>
      <c r="K37" s="9" t="n">
        <v>64</v>
      </c>
      <c r="L37" s="9" t="n">
        <v>349</v>
      </c>
      <c r="M37" s="9" t="n">
        <v>482</v>
      </c>
      <c r="N37" s="9"/>
      <c r="O37" s="9"/>
      <c r="P37" s="9"/>
      <c r="Q37" s="10" t="s">
        <v>62</v>
      </c>
      <c r="R37" s="9" t="str">
        <f aca="false">IF(Q37="Aprobada","Ya aprobada",IF(Q37="Cursada aprobada","Ya cursada",IF(AND(OR(L37="",COUNTIF($F$2:$F$46,L37)=0,COUNTIFS($F$2:$F$46,L37,$Q$2:$Q$46,"Aprobada")&gt;0,AND(Resumen!$B$15="La cursada aprobada",COUNTIFS($F$2:$F$46,L37,$Q$2:$Q$46,"Cursada aprobada")&gt;0)),OR(M37="",COUNTIF($F$2:$F$46,M37)=0,COUNTIFS($F$2:$F$46,M37,$Q$2:$Q$46,"Aprobada")&gt;0,AND(Resumen!$B$15="La cursada aprobada",COUNTIFS($F$2:$F$46,M37,$Q$2:$Q$46,"Cursada aprobada")&gt;0)),OR(N37="",COUNTIF($F$2:$F$46,N37)=0,COUNTIFS($F$2:$F$46,N37,$Q$2:$Q$46,"Aprobada")&gt;0,AND(Resumen!$B$15="La cursada aprobada",COUNTIFS($F$2:$F$46,N37,$Q$2:$Q$46,"Cursada aprobada")&gt;0)),OR(O37="",COUNTIF($F$2:$F$46,O37)=0,COUNTIFS($F$2:$F$46,O37,$Q$2:$Q$46,"Aprobada")&gt;0,AND(Resumen!$B$15="La cursada aprobada",COUNTIFS($F$2:$F$46,O37,$Q$2:$Q$46,"Cursada aprobada")&gt;0)),OR(P37="",COUNTIF($F$2:$F$46,P37)=0,COUNTIFS($F$2:$F$46,P37,$Q$2:$Q$46,"Aprobada")&gt;0,AND(Resumen!$B$15="La cursada aprobada",COUNTIFS($F$2:$F$46,P37,$Q$2:$Q$46,"Cursada aprobada")&gt;0))),"Sí","No")))</f>
        <v>No</v>
      </c>
      <c r="S37" s="8" t="str">
        <f aca="false">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</f>
        <v>349 482</v>
      </c>
      <c r="T37" s="9" t="str">
        <f aca="false">IF(Q37="Cursada aprobada",IF(AND(OR(L37="",COUNTIF($F$2:$F$46,L37)=0,COUNTIFS($F$2:$F$46,L37,$Q$2:$Q$46,"Aprobada")&gt;0),OR(M37="",COUNTIF($F$2:$F$46,M37)=0,COUNTIFS($F$2:$F$46,M37,$Q$2:$Q$46,"Aprobada")&gt;0),OR(N37="",COUNTIF($F$2:$F$46,N37)=0,COUNTIFS($F$2:$F$46,N37,$Q$2:$Q$46,"Aprobada")&gt;0),OR(O37="",COUNTIF($F$2:$F$46,O37)=0,COUNTIFS($F$2:$F$46,O37,$Q$2:$Q$46,"Aprobada")&gt;0),OR(P37="",COUNTIF($F$2:$F$46,P37)=0,COUNTIFS($F$2:$F$46,P37,$Q$2:$Q$46,"Aprobada")&gt;0)),"Sí","No"),"")</f>
        <v/>
      </c>
      <c r="U37" s="9" t="str">
        <f aca="false">IF(Q37="Aprobada",TRIM(IF(NOT(OR(L37="",COUNTIF($F$2:$F$46,L37)=0,COUNTIFS($F$2:$F$46,L37,$Q$2:$Q$46,"Aprobada")&gt;0)),L37&amp;" ","")&amp;IF(NOT(OR(M37="",COUNTIF($F$2:$F$46,M37)=0,COUNTIFS($F$2:$F$46,M37,$Q$2:$Q$46,"Aprobada")&gt;0)),M37&amp;" ","")&amp;IF(NOT(OR(N37="",COUNTIF($F$2:$F$46,N37)=0,COUNTIFS($F$2:$F$46,N37,$Q$2:$Q$46,"Aprobada")&gt;0)),N37&amp;" ","")&amp;IF(NOT(OR(O37="",COUNTIF($F$2:$F$46,O37)=0,COUNTIFS($F$2:$F$46,O37,$Q$2:$Q$46,"Aprobada")&gt;0)),O37&amp;" ","")&amp;IF(NOT(OR(P37="",COUNTIF($F$2:$F$46,P37)=0,COUNTIFS($F$2:$F$46,P37,$Q$2:$Q$46,"Aprobada")&gt;0)),P37&amp;" ","")),IF(Q37="Cursada aprobada",TRIM(IF(NOT(OR(L37="",COUNTIF($F$2:$F$46,L37)=0,COUNTIFS($F$2:$F$46,L37,$Q$2:$Q$46,"Aprobada")&gt;0,AND(Resumen!$B$15="La cursada aprobada",COUNTIFS($F$2:$F$46,L37,$Q$2:$Q$46,"Cursada aprobada")&gt;0))),L37&amp;" ","")&amp;IF(NOT(OR(M37="",COUNTIF($F$2:$F$46,M37)=0,COUNTIFS($F$2:$F$46,M37,$Q$2:$Q$46,"Aprobada")&gt;0,AND(Resumen!$B$15="La cursada aprobada",COUNTIFS($F$2:$F$46,M37,$Q$2:$Q$46,"Cursada aprobada")&gt;0))),M37&amp;" ","")&amp;IF(NOT(OR(N37="",COUNTIF($F$2:$F$46,N37)=0,COUNTIFS($F$2:$F$46,N37,$Q$2:$Q$46,"Aprobada")&gt;0,AND(Resumen!$B$15="La cursada aprobada",COUNTIFS($F$2:$F$46,N37,$Q$2:$Q$46,"Cursada aprobada")&gt;0))),N37&amp;" ","")&amp;IF(NOT(OR(O37="",COUNTIF($F$2:$F$46,O37)=0,COUNTIFS($F$2:$F$46,O37,$Q$2:$Q$46,"Aprobada")&gt;0,AND(Resumen!$B$15="La cursada aprobada",COUNTIFS($F$2:$F$46,O37,$Q$2:$Q$46,"Cursada aprobada")&gt;0))),O37&amp;" ","")&amp;IF(NOT(OR(P37="",COUNTIF($F$2:$F$46,P37)=0,COUNTIFS($F$2:$F$46,P37,$Q$2:$Q$46,"Aprobada")&gt;0,AND(Resumen!$B$15="La cursada aprobada",COUNTIFS($F$2:$F$46,P37,$Q$2:$Q$46,"Cursada aprobada")&gt;0))),P37&amp;" ","")),""))</f>
        <v/>
      </c>
    </row>
    <row r="38" customFormat="false" ht="15" hidden="false" customHeight="false" outlineLevel="0" collapsed="false">
      <c r="A38" s="8" t="s">
        <v>105</v>
      </c>
      <c r="B38" s="8" t="s">
        <v>201</v>
      </c>
      <c r="C38" s="9" t="n">
        <v>5</v>
      </c>
      <c r="D38" s="9" t="n">
        <v>2</v>
      </c>
      <c r="E38" s="9" t="s">
        <v>63</v>
      </c>
      <c r="F38" s="9" t="n">
        <v>570</v>
      </c>
      <c r="G38" s="8" t="s">
        <v>202</v>
      </c>
      <c r="H38" s="9"/>
      <c r="I38" s="9" t="n">
        <v>4</v>
      </c>
      <c r="J38" s="9"/>
      <c r="K38" s="9" t="n">
        <v>64</v>
      </c>
      <c r="L38" s="9" t="n">
        <v>432</v>
      </c>
      <c r="M38" s="9" t="n">
        <v>433</v>
      </c>
      <c r="N38" s="9" t="n">
        <v>434</v>
      </c>
      <c r="O38" s="9"/>
      <c r="P38" s="9"/>
      <c r="Q38" s="10" t="s">
        <v>62</v>
      </c>
      <c r="R38" s="9" t="str">
        <f aca="false">IF(Q38="Aprobada","Ya aprobada",IF(Q38="Cursada aprobada","Ya cursada",IF(AND(OR(L38="",COUNTIF($F$2:$F$46,L38)=0,COUNTIFS($F$2:$F$46,L38,$Q$2:$Q$46,"Aprobada")&gt;0,AND(Resumen!$B$15="La cursada aprobada",COUNTIFS($F$2:$F$46,L38,$Q$2:$Q$46,"Cursada aprobada")&gt;0)),OR(M38="",COUNTIF($F$2:$F$46,M38)=0,COUNTIFS($F$2:$F$46,M38,$Q$2:$Q$46,"Aprobada")&gt;0,AND(Resumen!$B$15="La cursada aprobada",COUNTIFS($F$2:$F$46,M38,$Q$2:$Q$46,"Cursada aprobada")&gt;0)),OR(N38="",COUNTIF($F$2:$F$46,N38)=0,COUNTIFS($F$2:$F$46,N38,$Q$2:$Q$46,"Aprobada")&gt;0,AND(Resumen!$B$15="La cursada aprobada",COUNTIFS($F$2:$F$46,N38,$Q$2:$Q$46,"Cursada aprobada")&gt;0)),OR(O38="",COUNTIF($F$2:$F$46,O38)=0,COUNTIFS($F$2:$F$46,O38,$Q$2:$Q$46,"Aprobada")&gt;0,AND(Resumen!$B$15="La cursada aprobada",COUNTIFS($F$2:$F$46,O38,$Q$2:$Q$46,"Cursada aprobada")&gt;0)),OR(P38="",COUNTIF($F$2:$F$46,P38)=0,COUNTIFS($F$2:$F$46,P38,$Q$2:$Q$46,"Aprobada")&gt;0,AND(Resumen!$B$15="La cursada aprobada",COUNTIFS($F$2:$F$46,P38,$Q$2:$Q$46,"Cursada aprobada")&gt;0))),"Sí","No")))</f>
        <v>No</v>
      </c>
      <c r="S38" s="8" t="str">
        <f aca="false">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</f>
        <v>432 433 434</v>
      </c>
      <c r="T38" s="9" t="str">
        <f aca="false">IF(Q38="Cursada aprobada",IF(AND(OR(L38="",COUNTIF($F$2:$F$46,L38)=0,COUNTIFS($F$2:$F$46,L38,$Q$2:$Q$46,"Aprobada")&gt;0),OR(M38="",COUNTIF($F$2:$F$46,M38)=0,COUNTIFS($F$2:$F$46,M38,$Q$2:$Q$46,"Aprobada")&gt;0),OR(N38="",COUNTIF($F$2:$F$46,N38)=0,COUNTIFS($F$2:$F$46,N38,$Q$2:$Q$46,"Aprobada")&gt;0),OR(O38="",COUNTIF($F$2:$F$46,O38)=0,COUNTIFS($F$2:$F$46,O38,$Q$2:$Q$46,"Aprobada")&gt;0),OR(P38="",COUNTIF($F$2:$F$46,P38)=0,COUNTIFS($F$2:$F$46,P38,$Q$2:$Q$46,"Aprobada")&gt;0)),"Sí","No"),"")</f>
        <v/>
      </c>
      <c r="U38" s="9" t="str">
        <f aca="false">IF(Q38="Aprobada",TRIM(IF(NOT(OR(L38="",COUNTIF($F$2:$F$46,L38)=0,COUNTIFS($F$2:$F$46,L38,$Q$2:$Q$46,"Aprobada")&gt;0)),L38&amp;" ","")&amp;IF(NOT(OR(M38="",COUNTIF($F$2:$F$46,M38)=0,COUNTIFS($F$2:$F$46,M38,$Q$2:$Q$46,"Aprobada")&gt;0)),M38&amp;" ","")&amp;IF(NOT(OR(N38="",COUNTIF($F$2:$F$46,N38)=0,COUNTIFS($F$2:$F$46,N38,$Q$2:$Q$46,"Aprobada")&gt;0)),N38&amp;" ","")&amp;IF(NOT(OR(O38="",COUNTIF($F$2:$F$46,O38)=0,COUNTIFS($F$2:$F$46,O38,$Q$2:$Q$46,"Aprobada")&gt;0)),O38&amp;" ","")&amp;IF(NOT(OR(P38="",COUNTIF($F$2:$F$46,P38)=0,COUNTIFS($F$2:$F$46,P38,$Q$2:$Q$46,"Aprobada")&gt;0)),P38&amp;" ","")),IF(Q38="Cursada aprobada",TRIM(IF(NOT(OR(L38="",COUNTIF($F$2:$F$46,L38)=0,COUNTIFS($F$2:$F$46,L38,$Q$2:$Q$46,"Aprobada")&gt;0,AND(Resumen!$B$15="La cursada aprobada",COUNTIFS($F$2:$F$46,L38,$Q$2:$Q$46,"Cursada aprobada")&gt;0))),L38&amp;" ","")&amp;IF(NOT(OR(M38="",COUNTIF($F$2:$F$46,M38)=0,COUNTIFS($F$2:$F$46,M38,$Q$2:$Q$46,"Aprobada")&gt;0,AND(Resumen!$B$15="La cursada aprobada",COUNTIFS($F$2:$F$46,M38,$Q$2:$Q$46,"Cursada aprobada")&gt;0))),M38&amp;" ","")&amp;IF(NOT(OR(N38="",COUNTIF($F$2:$F$46,N38)=0,COUNTIFS($F$2:$F$46,N38,$Q$2:$Q$46,"Aprobada")&gt;0,AND(Resumen!$B$15="La cursada aprobada",COUNTIFS($F$2:$F$46,N38,$Q$2:$Q$46,"Cursada aprobada")&gt;0))),N38&amp;" ","")&amp;IF(NOT(OR(O38="",COUNTIF($F$2:$F$46,O38)=0,COUNTIFS($F$2:$F$46,O38,$Q$2:$Q$46,"Aprobada")&gt;0,AND(Resumen!$B$15="La cursada aprobada",COUNTIFS($F$2:$F$46,O38,$Q$2:$Q$46,"Cursada aprobada")&gt;0))),O38&amp;" ","")&amp;IF(NOT(OR(P38="",COUNTIF($F$2:$F$46,P38)=0,COUNTIFS($F$2:$F$46,P38,$Q$2:$Q$46,"Aprobada")&gt;0,AND(Resumen!$B$15="La cursada aprobada",COUNTIFS($F$2:$F$46,P38,$Q$2:$Q$46,"Cursada aprobada")&gt;0))),P38&amp;" ","")),""))</f>
        <v/>
      </c>
    </row>
    <row r="39" customFormat="false" ht="15" hidden="false" customHeight="false" outlineLevel="0" collapsed="false">
      <c r="A39" s="8" t="s">
        <v>105</v>
      </c>
      <c r="B39" s="8" t="s">
        <v>203</v>
      </c>
      <c r="C39" s="9" t="n">
        <v>5</v>
      </c>
      <c r="D39" s="9" t="n">
        <v>1</v>
      </c>
      <c r="E39" s="9" t="s">
        <v>59</v>
      </c>
      <c r="F39" s="9" t="n">
        <v>511</v>
      </c>
      <c r="G39" s="8" t="s">
        <v>204</v>
      </c>
      <c r="H39" s="9"/>
      <c r="I39" s="9" t="n">
        <v>4</v>
      </c>
      <c r="J39" s="9"/>
      <c r="K39" s="9" t="n">
        <v>64</v>
      </c>
      <c r="L39" s="9" t="n">
        <v>112</v>
      </c>
      <c r="M39" s="9" t="n">
        <v>483</v>
      </c>
      <c r="N39" s="9"/>
      <c r="O39" s="9"/>
      <c r="P39" s="9"/>
      <c r="Q39" s="10" t="s">
        <v>62</v>
      </c>
      <c r="R39" s="9" t="str">
        <f aca="false">IF(Q39="Aprobada","Ya aprobada",IF(Q39="Cursada aprobada","Ya cursada",IF(AND(OR(L39="",COUNTIF($F$2:$F$46,L39)=0,COUNTIFS($F$2:$F$46,L39,$Q$2:$Q$46,"Aprobada")&gt;0,AND(Resumen!$B$15="La cursada aprobada",COUNTIFS($F$2:$F$46,L39,$Q$2:$Q$46,"Cursada aprobada")&gt;0)),OR(M39="",COUNTIF($F$2:$F$46,M39)=0,COUNTIFS($F$2:$F$46,M39,$Q$2:$Q$46,"Aprobada")&gt;0,AND(Resumen!$B$15="La cursada aprobada",COUNTIFS($F$2:$F$46,M39,$Q$2:$Q$46,"Cursada aprobada")&gt;0)),OR(N39="",COUNTIF($F$2:$F$46,N39)=0,COUNTIFS($F$2:$F$46,N39,$Q$2:$Q$46,"Aprobada")&gt;0,AND(Resumen!$B$15="La cursada aprobada",COUNTIFS($F$2:$F$46,N39,$Q$2:$Q$46,"Cursada aprobada")&gt;0)),OR(O39="",COUNTIF($F$2:$F$46,O39)=0,COUNTIFS($F$2:$F$46,O39,$Q$2:$Q$46,"Aprobada")&gt;0,AND(Resumen!$B$15="La cursada aprobada",COUNTIFS($F$2:$F$46,O39,$Q$2:$Q$46,"Cursada aprobada")&gt;0)),OR(P39="",COUNTIF($F$2:$F$46,P39)=0,COUNTIFS($F$2:$F$46,P39,$Q$2:$Q$46,"Aprobada")&gt;0,AND(Resumen!$B$15="La cursada aprobada",COUNTIFS($F$2:$F$46,P39,$Q$2:$Q$46,"Cursada aprobada")&gt;0))),"Sí","No")))</f>
        <v>No</v>
      </c>
      <c r="S39" s="8" t="str">
        <f aca="false">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</f>
        <v>112 483</v>
      </c>
      <c r="T39" s="9" t="str">
        <f aca="false">IF(Q39="Cursada aprobada",IF(AND(OR(L39="",COUNTIF($F$2:$F$46,L39)=0,COUNTIFS($F$2:$F$46,L39,$Q$2:$Q$46,"Aprobada")&gt;0),OR(M39="",COUNTIF($F$2:$F$46,M39)=0,COUNTIFS($F$2:$F$46,M39,$Q$2:$Q$46,"Aprobada")&gt;0),OR(N39="",COUNTIF($F$2:$F$46,N39)=0,COUNTIFS($F$2:$F$46,N39,$Q$2:$Q$46,"Aprobada")&gt;0),OR(O39="",COUNTIF($F$2:$F$46,O39)=0,COUNTIFS($F$2:$F$46,O39,$Q$2:$Q$46,"Aprobada")&gt;0),OR(P39="",COUNTIF($F$2:$F$46,P39)=0,COUNTIFS($F$2:$F$46,P39,$Q$2:$Q$46,"Aprobada")&gt;0)),"Sí","No"),"")</f>
        <v/>
      </c>
      <c r="U39" s="9" t="str">
        <f aca="false">IF(Q39="Aprobada",TRIM(IF(NOT(OR(L39="",COUNTIF($F$2:$F$46,L39)=0,COUNTIFS($F$2:$F$46,L39,$Q$2:$Q$46,"Aprobada")&gt;0)),L39&amp;" ","")&amp;IF(NOT(OR(M39="",COUNTIF($F$2:$F$46,M39)=0,COUNTIFS($F$2:$F$46,M39,$Q$2:$Q$46,"Aprobada")&gt;0)),M39&amp;" ","")&amp;IF(NOT(OR(N39="",COUNTIF($F$2:$F$46,N39)=0,COUNTIFS($F$2:$F$46,N39,$Q$2:$Q$46,"Aprobada")&gt;0)),N39&amp;" ","")&amp;IF(NOT(OR(O39="",COUNTIF($F$2:$F$46,O39)=0,COUNTIFS($F$2:$F$46,O39,$Q$2:$Q$46,"Aprobada")&gt;0)),O39&amp;" ","")&amp;IF(NOT(OR(P39="",COUNTIF($F$2:$F$46,P39)=0,COUNTIFS($F$2:$F$46,P39,$Q$2:$Q$46,"Aprobada")&gt;0)),P39&amp;" ","")),IF(Q39="Cursada aprobada",TRIM(IF(NOT(OR(L39="",COUNTIF($F$2:$F$46,L39)=0,COUNTIFS($F$2:$F$46,L39,$Q$2:$Q$46,"Aprobada")&gt;0,AND(Resumen!$B$15="La cursada aprobada",COUNTIFS($F$2:$F$46,L39,$Q$2:$Q$46,"Cursada aprobada")&gt;0))),L39&amp;" ","")&amp;IF(NOT(OR(M39="",COUNTIF($F$2:$F$46,M39)=0,COUNTIFS($F$2:$F$46,M39,$Q$2:$Q$46,"Aprobada")&gt;0,AND(Resumen!$B$15="La cursada aprobada",COUNTIFS($F$2:$F$46,M39,$Q$2:$Q$46,"Cursada aprobada")&gt;0))),M39&amp;" ","")&amp;IF(NOT(OR(N39="",COUNTIF($F$2:$F$46,N39)=0,COUNTIFS($F$2:$F$46,N39,$Q$2:$Q$46,"Aprobada")&gt;0,AND(Resumen!$B$15="La cursada aprobada",COUNTIFS($F$2:$F$46,N39,$Q$2:$Q$46,"Cursada aprobada")&gt;0))),N39&amp;" ","")&amp;IF(NOT(OR(O39="",COUNTIF($F$2:$F$46,O39)=0,COUNTIFS($F$2:$F$46,O39,$Q$2:$Q$46,"Aprobada")&gt;0,AND(Resumen!$B$15="La cursada aprobada",COUNTIFS($F$2:$F$46,O39,$Q$2:$Q$46,"Cursada aprobada")&gt;0))),O39&amp;" ","")&amp;IF(NOT(OR(P39="",COUNTIF($F$2:$F$46,P39)=0,COUNTIFS($F$2:$F$46,P39,$Q$2:$Q$46,"Aprobada")&gt;0,AND(Resumen!$B$15="La cursada aprobada",COUNTIFS($F$2:$F$46,P39,$Q$2:$Q$46,"Cursada aprobada")&gt;0))),P39&amp;" ","")),""))</f>
        <v/>
      </c>
    </row>
    <row r="40" customFormat="false" ht="15" hidden="false" customHeight="false" outlineLevel="0" collapsed="false">
      <c r="A40" s="8" t="s">
        <v>116</v>
      </c>
      <c r="B40" s="8"/>
      <c r="C40" s="9"/>
      <c r="D40" s="9"/>
      <c r="E40" s="9" t="s">
        <v>99</v>
      </c>
      <c r="F40" s="9" t="n">
        <v>596</v>
      </c>
      <c r="G40" s="8" t="s">
        <v>117</v>
      </c>
      <c r="H40" s="9"/>
      <c r="I40" s="9"/>
      <c r="J40" s="9"/>
      <c r="K40" s="9"/>
      <c r="L40" s="9"/>
      <c r="M40" s="9"/>
      <c r="N40" s="9"/>
      <c r="O40" s="9"/>
      <c r="P40" s="9"/>
      <c r="Q40" s="10" t="s">
        <v>62</v>
      </c>
      <c r="R40" s="9" t="str">
        <f aca="false">IF(Q40="Aprobada","Ya aprobada",IF(Q40="Cursada aprobada","Ya cursada",IF(AND(OR(L40="",COUNTIF($F$2:$F$46,L40)=0,COUNTIFS($F$2:$F$46,L40,$Q$2:$Q$46,"Aprobada")&gt;0,AND(Resumen!$B$15="La cursada aprobada",COUNTIFS($F$2:$F$46,L40,$Q$2:$Q$46,"Cursada aprobada")&gt;0)),OR(M40="",COUNTIF($F$2:$F$46,M40)=0,COUNTIFS($F$2:$F$46,M40,$Q$2:$Q$46,"Aprobada")&gt;0,AND(Resumen!$B$15="La cursada aprobada",COUNTIFS($F$2:$F$46,M40,$Q$2:$Q$46,"Cursada aprobada")&gt;0)),OR(N40="",COUNTIF($F$2:$F$46,N40)=0,COUNTIFS($F$2:$F$46,N40,$Q$2:$Q$46,"Aprobada")&gt;0,AND(Resumen!$B$15="La cursada aprobada",COUNTIFS($F$2:$F$46,N40,$Q$2:$Q$46,"Cursada aprobada")&gt;0)),OR(O40="",COUNTIF($F$2:$F$46,O40)=0,COUNTIFS($F$2:$F$46,O40,$Q$2:$Q$46,"Aprobada")&gt;0,AND(Resumen!$B$15="La cursada aprobada",COUNTIFS($F$2:$F$46,O40,$Q$2:$Q$46,"Cursada aprobada")&gt;0)),OR(P40="",COUNTIF($F$2:$F$46,P40)=0,COUNTIFS($F$2:$F$46,P40,$Q$2:$Q$46,"Aprobada")&gt;0,AND(Resumen!$B$15="La cursada aprobada",COUNTIFS($F$2:$F$46,P40,$Q$2:$Q$46,"Cursada aprobada")&gt;0))),"Sí","No")))</f>
        <v>Sí</v>
      </c>
      <c r="S40" s="8" t="str">
        <f aca="false">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</f>
        <v/>
      </c>
      <c r="T40" s="9" t="str">
        <f aca="false">IF(Q40="Cursada aprobada",IF(AND(OR(L40="",COUNTIF($F$2:$F$46,L40)=0,COUNTIFS($F$2:$F$46,L40,$Q$2:$Q$46,"Aprobada")&gt;0),OR(M40="",COUNTIF($F$2:$F$46,M40)=0,COUNTIFS($F$2:$F$46,M40,$Q$2:$Q$46,"Aprobada")&gt;0),OR(N40="",COUNTIF($F$2:$F$46,N40)=0,COUNTIFS($F$2:$F$46,N40,$Q$2:$Q$46,"Aprobada")&gt;0),OR(O40="",COUNTIF($F$2:$F$46,O40)=0,COUNTIFS($F$2:$F$46,O40,$Q$2:$Q$46,"Aprobada")&gt;0),OR(P40="",COUNTIF($F$2:$F$46,P40)=0,COUNTIFS($F$2:$F$46,P40,$Q$2:$Q$46,"Aprobada")&gt;0)),"Sí","No"),"")</f>
        <v/>
      </c>
      <c r="U40" s="9" t="str">
        <f aca="false">IF(Q40="Aprobada",TRIM(IF(NOT(OR(L40="",COUNTIF($F$2:$F$46,L40)=0,COUNTIFS($F$2:$F$46,L40,$Q$2:$Q$46,"Aprobada")&gt;0)),L40&amp;" ","")&amp;IF(NOT(OR(M40="",COUNTIF($F$2:$F$46,M40)=0,COUNTIFS($F$2:$F$46,M40,$Q$2:$Q$46,"Aprobada")&gt;0)),M40&amp;" ","")&amp;IF(NOT(OR(N40="",COUNTIF($F$2:$F$46,N40)=0,COUNTIFS($F$2:$F$46,N40,$Q$2:$Q$46,"Aprobada")&gt;0)),N40&amp;" ","")&amp;IF(NOT(OR(O40="",COUNTIF($F$2:$F$46,O40)=0,COUNTIFS($F$2:$F$46,O40,$Q$2:$Q$46,"Aprobada")&gt;0)),O40&amp;" ","")&amp;IF(NOT(OR(P40="",COUNTIF($F$2:$F$46,P40)=0,COUNTIFS($F$2:$F$46,P40,$Q$2:$Q$46,"Aprobada")&gt;0)),P40&amp;" ","")),IF(Q40="Cursada aprobada",TRIM(IF(NOT(OR(L40="",COUNTIF($F$2:$F$46,L40)=0,COUNTIFS($F$2:$F$46,L40,$Q$2:$Q$46,"Aprobada")&gt;0,AND(Resumen!$B$15="La cursada aprobada",COUNTIFS($F$2:$F$46,L40,$Q$2:$Q$46,"Cursada aprobada")&gt;0))),L40&amp;" ","")&amp;IF(NOT(OR(M40="",COUNTIF($F$2:$F$46,M40)=0,COUNTIFS($F$2:$F$46,M40,$Q$2:$Q$46,"Aprobada")&gt;0,AND(Resumen!$B$15="La cursada aprobada",COUNTIFS($F$2:$F$46,M40,$Q$2:$Q$46,"Cursada aprobada")&gt;0))),M40&amp;" ","")&amp;IF(NOT(OR(N40="",COUNTIF($F$2:$F$46,N40)=0,COUNTIFS($F$2:$F$46,N40,$Q$2:$Q$46,"Aprobada")&gt;0,AND(Resumen!$B$15="La cursada aprobada",COUNTIFS($F$2:$F$46,N40,$Q$2:$Q$46,"Cursada aprobada")&gt;0))),N40&amp;" ","")&amp;IF(NOT(OR(O40="",COUNTIF($F$2:$F$46,O40)=0,COUNTIFS($F$2:$F$46,O40,$Q$2:$Q$46,"Aprobada")&gt;0,AND(Resumen!$B$15="La cursada aprobada",COUNTIFS($F$2:$F$46,O40,$Q$2:$Q$46,"Cursada aprobada")&gt;0))),O40&amp;" ","")&amp;IF(NOT(OR(P40="",COUNTIF($F$2:$F$46,P40)=0,COUNTIFS($F$2:$F$46,P40,$Q$2:$Q$46,"Aprobada")&gt;0,AND(Resumen!$B$15="La cursada aprobada",COUNTIFS($F$2:$F$46,P40,$Q$2:$Q$46,"Cursada aprobada")&gt;0))),P40&amp;" ","")),""))</f>
        <v/>
      </c>
    </row>
    <row r="41" customFormat="false" ht="15" hidden="false" customHeight="false" outlineLevel="0" collapsed="false">
      <c r="A41" s="8" t="s">
        <v>116</v>
      </c>
      <c r="B41" s="8"/>
      <c r="C41" s="9"/>
      <c r="D41" s="9"/>
      <c r="E41" s="9" t="s">
        <v>99</v>
      </c>
      <c r="F41" s="9" t="n">
        <v>597</v>
      </c>
      <c r="G41" s="8" t="s">
        <v>172</v>
      </c>
      <c r="H41" s="9"/>
      <c r="I41" s="9"/>
      <c r="J41" s="9"/>
      <c r="K41" s="9"/>
      <c r="L41" s="9"/>
      <c r="M41" s="9"/>
      <c r="N41" s="9"/>
      <c r="O41" s="9"/>
      <c r="P41" s="9"/>
      <c r="Q41" s="10" t="s">
        <v>62</v>
      </c>
      <c r="R41" s="9" t="str">
        <f aca="false">IF(Q41="Aprobada","Ya aprobada",IF(Q41="Cursada aprobada","Ya cursada",IF(AND(OR(L41="",COUNTIF($F$2:$F$46,L41)=0,COUNTIFS($F$2:$F$46,L41,$Q$2:$Q$46,"Aprobada")&gt;0,AND(Resumen!$B$15="La cursada aprobada",COUNTIFS($F$2:$F$46,L41,$Q$2:$Q$46,"Cursada aprobada")&gt;0)),OR(M41="",COUNTIF($F$2:$F$46,M41)=0,COUNTIFS($F$2:$F$46,M41,$Q$2:$Q$46,"Aprobada")&gt;0,AND(Resumen!$B$15="La cursada aprobada",COUNTIFS($F$2:$F$46,M41,$Q$2:$Q$46,"Cursada aprobada")&gt;0)),OR(N41="",COUNTIF($F$2:$F$46,N41)=0,COUNTIFS($F$2:$F$46,N41,$Q$2:$Q$46,"Aprobada")&gt;0,AND(Resumen!$B$15="La cursada aprobada",COUNTIFS($F$2:$F$46,N41,$Q$2:$Q$46,"Cursada aprobada")&gt;0)),OR(O41="",COUNTIF($F$2:$F$46,O41)=0,COUNTIFS($F$2:$F$46,O41,$Q$2:$Q$46,"Aprobada")&gt;0,AND(Resumen!$B$15="La cursada aprobada",COUNTIFS($F$2:$F$46,O41,$Q$2:$Q$46,"Cursada aprobada")&gt;0)),OR(P41="",COUNTIF($F$2:$F$46,P41)=0,COUNTIFS($F$2:$F$46,P41,$Q$2:$Q$46,"Aprobada")&gt;0,AND(Resumen!$B$15="La cursada aprobada",COUNTIFS($F$2:$F$46,P41,$Q$2:$Q$46,"Cursada aprobada")&gt;0))),"Sí","No")))</f>
        <v>Sí</v>
      </c>
      <c r="S41" s="8" t="str">
        <f aca="false">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</f>
        <v/>
      </c>
      <c r="T41" s="9" t="str">
        <f aca="false">IF(Q41="Cursada aprobada",IF(AND(OR(L41="",COUNTIF($F$2:$F$46,L41)=0,COUNTIFS($F$2:$F$46,L41,$Q$2:$Q$46,"Aprobada")&gt;0),OR(M41="",COUNTIF($F$2:$F$46,M41)=0,COUNTIFS($F$2:$F$46,M41,$Q$2:$Q$46,"Aprobada")&gt;0),OR(N41="",COUNTIF($F$2:$F$46,N41)=0,COUNTIFS($F$2:$F$46,N41,$Q$2:$Q$46,"Aprobada")&gt;0),OR(O41="",COUNTIF($F$2:$F$46,O41)=0,COUNTIFS($F$2:$F$46,O41,$Q$2:$Q$46,"Aprobada")&gt;0),OR(P41="",COUNTIF($F$2:$F$46,P41)=0,COUNTIFS($F$2:$F$46,P41,$Q$2:$Q$46,"Aprobada")&gt;0)),"Sí","No"),"")</f>
        <v/>
      </c>
      <c r="U41" s="9" t="str">
        <f aca="false">IF(Q41="Aprobada",TRIM(IF(NOT(OR(L41="",COUNTIF($F$2:$F$46,L41)=0,COUNTIFS($F$2:$F$46,L41,$Q$2:$Q$46,"Aprobada")&gt;0)),L41&amp;" ","")&amp;IF(NOT(OR(M41="",COUNTIF($F$2:$F$46,M41)=0,COUNTIFS($F$2:$F$46,M41,$Q$2:$Q$46,"Aprobada")&gt;0)),M41&amp;" ","")&amp;IF(NOT(OR(N41="",COUNTIF($F$2:$F$46,N41)=0,COUNTIFS($F$2:$F$46,N41,$Q$2:$Q$46,"Aprobada")&gt;0)),N41&amp;" ","")&amp;IF(NOT(OR(O41="",COUNTIF($F$2:$F$46,O41)=0,COUNTIFS($F$2:$F$46,O41,$Q$2:$Q$46,"Aprobada")&gt;0)),O41&amp;" ","")&amp;IF(NOT(OR(P41="",COUNTIF($F$2:$F$46,P41)=0,COUNTIFS($F$2:$F$46,P41,$Q$2:$Q$46,"Aprobada")&gt;0)),P41&amp;" ","")),IF(Q41="Cursada aprobada",TRIM(IF(NOT(OR(L41="",COUNTIF($F$2:$F$46,L41)=0,COUNTIFS($F$2:$F$46,L41,$Q$2:$Q$46,"Aprobada")&gt;0,AND(Resumen!$B$15="La cursada aprobada",COUNTIFS($F$2:$F$46,L41,$Q$2:$Q$46,"Cursada aprobada")&gt;0))),L41&amp;" ","")&amp;IF(NOT(OR(M41="",COUNTIF($F$2:$F$46,M41)=0,COUNTIFS($F$2:$F$46,M41,$Q$2:$Q$46,"Aprobada")&gt;0,AND(Resumen!$B$15="La cursada aprobada",COUNTIFS($F$2:$F$46,M41,$Q$2:$Q$46,"Cursada aprobada")&gt;0))),M41&amp;" ","")&amp;IF(NOT(OR(N41="",COUNTIF($F$2:$F$46,N41)=0,COUNTIFS($F$2:$F$46,N41,$Q$2:$Q$46,"Aprobada")&gt;0,AND(Resumen!$B$15="La cursada aprobada",COUNTIFS($F$2:$F$46,N41,$Q$2:$Q$46,"Cursada aprobada")&gt;0))),N41&amp;" ","")&amp;IF(NOT(OR(O41="",COUNTIF($F$2:$F$46,O41)=0,COUNTIFS($F$2:$F$46,O41,$Q$2:$Q$46,"Aprobada")&gt;0,AND(Resumen!$B$15="La cursada aprobada",COUNTIFS($F$2:$F$46,O41,$Q$2:$Q$46,"Cursada aprobada")&gt;0))),O41&amp;" ","")&amp;IF(NOT(OR(P41="",COUNTIF($F$2:$F$46,P41)=0,COUNTIFS($F$2:$F$46,P41,$Q$2:$Q$46,"Aprobada")&gt;0,AND(Resumen!$B$15="La cursada aprobada",COUNTIFS($F$2:$F$46,P41,$Q$2:$Q$46,"Cursada aprobada")&gt;0))),P41&amp;" ","")),""))</f>
        <v/>
      </c>
    </row>
    <row r="42" customFormat="false" ht="15" hidden="false" customHeight="false" outlineLevel="0" collapsed="false">
      <c r="A42" s="8" t="s">
        <v>116</v>
      </c>
      <c r="B42" s="8"/>
      <c r="C42" s="9"/>
      <c r="D42" s="9"/>
      <c r="E42" s="9" t="s">
        <v>63</v>
      </c>
      <c r="F42" s="9" t="n">
        <v>300</v>
      </c>
      <c r="G42" s="8" t="s">
        <v>118</v>
      </c>
      <c r="H42" s="9"/>
      <c r="I42" s="9"/>
      <c r="J42" s="9"/>
      <c r="K42" s="9"/>
      <c r="L42" s="9"/>
      <c r="M42" s="9"/>
      <c r="N42" s="9"/>
      <c r="O42" s="9"/>
      <c r="P42" s="9"/>
      <c r="Q42" s="10" t="s">
        <v>62</v>
      </c>
      <c r="R42" s="9" t="str">
        <f aca="false">IF(Q42="Aprobada","Ya aprobada",IF(Q42="Cursada aprobada","Ya cursada",IF(AND(OR(L42="",COUNTIF($F$2:$F$46,L42)=0,COUNTIFS($F$2:$F$46,L42,$Q$2:$Q$46,"Aprobada")&gt;0,AND(Resumen!$B$15="La cursada aprobada",COUNTIFS($F$2:$F$46,L42,$Q$2:$Q$46,"Cursada aprobada")&gt;0)),OR(M42="",COUNTIF($F$2:$F$46,M42)=0,COUNTIFS($F$2:$F$46,M42,$Q$2:$Q$46,"Aprobada")&gt;0,AND(Resumen!$B$15="La cursada aprobada",COUNTIFS($F$2:$F$46,M42,$Q$2:$Q$46,"Cursada aprobada")&gt;0)),OR(N42="",COUNTIF($F$2:$F$46,N42)=0,COUNTIFS($F$2:$F$46,N42,$Q$2:$Q$46,"Aprobada")&gt;0,AND(Resumen!$B$15="La cursada aprobada",COUNTIFS($F$2:$F$46,N42,$Q$2:$Q$46,"Cursada aprobada")&gt;0)),OR(O42="",COUNTIF($F$2:$F$46,O42)=0,COUNTIFS($F$2:$F$46,O42,$Q$2:$Q$46,"Aprobada")&gt;0,AND(Resumen!$B$15="La cursada aprobada",COUNTIFS($F$2:$F$46,O42,$Q$2:$Q$46,"Cursada aprobada")&gt;0)),OR(P42="",COUNTIF($F$2:$F$46,P42)=0,COUNTIFS($F$2:$F$46,P42,$Q$2:$Q$46,"Aprobada")&gt;0,AND(Resumen!$B$15="La cursada aprobada",COUNTIFS($F$2:$F$46,P42,$Q$2:$Q$46,"Cursada aprobada")&gt;0))),"Sí","No")))</f>
        <v>Sí</v>
      </c>
      <c r="S42" s="8" t="str">
        <f aca="false">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</f>
        <v/>
      </c>
      <c r="T42" s="9" t="str">
        <f aca="false">IF(Q42="Cursada aprobada",IF(AND(OR(L42="",COUNTIF($F$2:$F$46,L42)=0,COUNTIFS($F$2:$F$46,L42,$Q$2:$Q$46,"Aprobada")&gt;0),OR(M42="",COUNTIF($F$2:$F$46,M42)=0,COUNTIFS($F$2:$F$46,M42,$Q$2:$Q$46,"Aprobada")&gt;0),OR(N42="",COUNTIF($F$2:$F$46,N42)=0,COUNTIFS($F$2:$F$46,N42,$Q$2:$Q$46,"Aprobada")&gt;0),OR(O42="",COUNTIF($F$2:$F$46,O42)=0,COUNTIFS($F$2:$F$46,O42,$Q$2:$Q$46,"Aprobada")&gt;0),OR(P42="",COUNTIF($F$2:$F$46,P42)=0,COUNTIFS($F$2:$F$46,P42,$Q$2:$Q$46,"Aprobada")&gt;0)),"Sí","No"),"")</f>
        <v/>
      </c>
      <c r="U42" s="9" t="str">
        <f aca="false">IF(Q42="Aprobada",TRIM(IF(NOT(OR(L42="",COUNTIF($F$2:$F$46,L42)=0,COUNTIFS($F$2:$F$46,L42,$Q$2:$Q$46,"Aprobada")&gt;0)),L42&amp;" ","")&amp;IF(NOT(OR(M42="",COUNTIF($F$2:$F$46,M42)=0,COUNTIFS($F$2:$F$46,M42,$Q$2:$Q$46,"Aprobada")&gt;0)),M42&amp;" ","")&amp;IF(NOT(OR(N42="",COUNTIF($F$2:$F$46,N42)=0,COUNTIFS($F$2:$F$46,N42,$Q$2:$Q$46,"Aprobada")&gt;0)),N42&amp;" ","")&amp;IF(NOT(OR(O42="",COUNTIF($F$2:$F$46,O42)=0,COUNTIFS($F$2:$F$46,O42,$Q$2:$Q$46,"Aprobada")&gt;0)),O42&amp;" ","")&amp;IF(NOT(OR(P42="",COUNTIF($F$2:$F$46,P42)=0,COUNTIFS($F$2:$F$46,P42,$Q$2:$Q$46,"Aprobada")&gt;0)),P42&amp;" ","")),IF(Q42="Cursada aprobada",TRIM(IF(NOT(OR(L42="",COUNTIF($F$2:$F$46,L42)=0,COUNTIFS($F$2:$F$46,L42,$Q$2:$Q$46,"Aprobada")&gt;0,AND(Resumen!$B$15="La cursada aprobada",COUNTIFS($F$2:$F$46,L42,$Q$2:$Q$46,"Cursada aprobada")&gt;0))),L42&amp;" ","")&amp;IF(NOT(OR(M42="",COUNTIF($F$2:$F$46,M42)=0,COUNTIFS($F$2:$F$46,M42,$Q$2:$Q$46,"Aprobada")&gt;0,AND(Resumen!$B$15="La cursada aprobada",COUNTIFS($F$2:$F$46,M42,$Q$2:$Q$46,"Cursada aprobada")&gt;0))),M42&amp;" ","")&amp;IF(NOT(OR(N42="",COUNTIF($F$2:$F$46,N42)=0,COUNTIFS($F$2:$F$46,N42,$Q$2:$Q$46,"Aprobada")&gt;0,AND(Resumen!$B$15="La cursada aprobada",COUNTIFS($F$2:$F$46,N42,$Q$2:$Q$46,"Cursada aprobada")&gt;0))),N42&amp;" ","")&amp;IF(NOT(OR(O42="",COUNTIF($F$2:$F$46,O42)=0,COUNTIFS($F$2:$F$46,O42,$Q$2:$Q$46,"Aprobada")&gt;0,AND(Resumen!$B$15="La cursada aprobada",COUNTIFS($F$2:$F$46,O42,$Q$2:$Q$46,"Cursada aprobada")&gt;0))),O42&amp;" ","")&amp;IF(NOT(OR(P42="",COUNTIF($F$2:$F$46,P42)=0,COUNTIFS($F$2:$F$46,P42,$Q$2:$Q$46,"Aprobada")&gt;0,AND(Resumen!$B$15="La cursada aprobada",COUNTIFS($F$2:$F$46,P42,$Q$2:$Q$46,"Cursada aprobada")&gt;0))),P42&amp;" ","")),""))</f>
        <v/>
      </c>
    </row>
    <row r="43" customFormat="false" ht="15" hidden="false" customHeight="false" outlineLevel="0" collapsed="false">
      <c r="A43" s="8" t="s">
        <v>116</v>
      </c>
      <c r="B43" s="8"/>
      <c r="C43" s="9"/>
      <c r="D43" s="9"/>
      <c r="E43" s="9" t="s">
        <v>99</v>
      </c>
      <c r="F43" s="9" t="n">
        <v>287</v>
      </c>
      <c r="G43" s="8" t="s">
        <v>119</v>
      </c>
      <c r="H43" s="9"/>
      <c r="I43" s="9"/>
      <c r="J43" s="9"/>
      <c r="K43" s="9"/>
      <c r="L43" s="9"/>
      <c r="M43" s="9"/>
      <c r="N43" s="9"/>
      <c r="O43" s="9"/>
      <c r="P43" s="9"/>
      <c r="Q43" s="10" t="s">
        <v>62</v>
      </c>
      <c r="R43" s="9" t="str">
        <f aca="false">IF(Q43="Aprobada","Ya aprobada",IF(Q43="Cursada aprobada","Ya cursada",IF(AND(OR(L43="",COUNTIF($F$2:$F$46,L43)=0,COUNTIFS($F$2:$F$46,L43,$Q$2:$Q$46,"Aprobada")&gt;0,AND(Resumen!$B$15="La cursada aprobada",COUNTIFS($F$2:$F$46,L43,$Q$2:$Q$46,"Cursada aprobada")&gt;0)),OR(M43="",COUNTIF($F$2:$F$46,M43)=0,COUNTIFS($F$2:$F$46,M43,$Q$2:$Q$46,"Aprobada")&gt;0,AND(Resumen!$B$15="La cursada aprobada",COUNTIFS($F$2:$F$46,M43,$Q$2:$Q$46,"Cursada aprobada")&gt;0)),OR(N43="",COUNTIF($F$2:$F$46,N43)=0,COUNTIFS($F$2:$F$46,N43,$Q$2:$Q$46,"Aprobada")&gt;0,AND(Resumen!$B$15="La cursada aprobada",COUNTIFS($F$2:$F$46,N43,$Q$2:$Q$46,"Cursada aprobada")&gt;0)),OR(O43="",COUNTIF($F$2:$F$46,O43)=0,COUNTIFS($F$2:$F$46,O43,$Q$2:$Q$46,"Aprobada")&gt;0,AND(Resumen!$B$15="La cursada aprobada",COUNTIFS($F$2:$F$46,O43,$Q$2:$Q$46,"Cursada aprobada")&gt;0)),OR(P43="",COUNTIF($F$2:$F$46,P43)=0,COUNTIFS($F$2:$F$46,P43,$Q$2:$Q$46,"Aprobada")&gt;0,AND(Resumen!$B$15="La cursada aprobada",COUNTIFS($F$2:$F$46,P43,$Q$2:$Q$46,"Cursada aprobada")&gt;0))),"Sí","No")))</f>
        <v>Sí</v>
      </c>
      <c r="S43" s="8" t="str">
        <f aca="false">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</f>
        <v/>
      </c>
      <c r="T43" s="9" t="str">
        <f aca="false">IF(Q43="Cursada aprobada",IF(AND(OR(L43="",COUNTIF($F$2:$F$46,L43)=0,COUNTIFS($F$2:$F$46,L43,$Q$2:$Q$46,"Aprobada")&gt;0),OR(M43="",COUNTIF($F$2:$F$46,M43)=0,COUNTIFS($F$2:$F$46,M43,$Q$2:$Q$46,"Aprobada")&gt;0),OR(N43="",COUNTIF($F$2:$F$46,N43)=0,COUNTIFS($F$2:$F$46,N43,$Q$2:$Q$46,"Aprobada")&gt;0),OR(O43="",COUNTIF($F$2:$F$46,O43)=0,COUNTIFS($F$2:$F$46,O43,$Q$2:$Q$46,"Aprobada")&gt;0),OR(P43="",COUNTIF($F$2:$F$46,P43)=0,COUNTIFS($F$2:$F$46,P43,$Q$2:$Q$46,"Aprobada")&gt;0)),"Sí","No"),"")</f>
        <v/>
      </c>
      <c r="U43" s="9" t="str">
        <f aca="false">IF(Q43="Aprobada",TRIM(IF(NOT(OR(L43="",COUNTIF($F$2:$F$46,L43)=0,COUNTIFS($F$2:$F$46,L43,$Q$2:$Q$46,"Aprobada")&gt;0)),L43&amp;" ","")&amp;IF(NOT(OR(M43="",COUNTIF($F$2:$F$46,M43)=0,COUNTIFS($F$2:$F$46,M43,$Q$2:$Q$46,"Aprobada")&gt;0)),M43&amp;" ","")&amp;IF(NOT(OR(N43="",COUNTIF($F$2:$F$46,N43)=0,COUNTIFS($F$2:$F$46,N43,$Q$2:$Q$46,"Aprobada")&gt;0)),N43&amp;" ","")&amp;IF(NOT(OR(O43="",COUNTIF($F$2:$F$46,O43)=0,COUNTIFS($F$2:$F$46,O43,$Q$2:$Q$46,"Aprobada")&gt;0)),O43&amp;" ","")&amp;IF(NOT(OR(P43="",COUNTIF($F$2:$F$46,P43)=0,COUNTIFS($F$2:$F$46,P43,$Q$2:$Q$46,"Aprobada")&gt;0)),P43&amp;" ","")),IF(Q43="Cursada aprobada",TRIM(IF(NOT(OR(L43="",COUNTIF($F$2:$F$46,L43)=0,COUNTIFS($F$2:$F$46,L43,$Q$2:$Q$46,"Aprobada")&gt;0,AND(Resumen!$B$15="La cursada aprobada",COUNTIFS($F$2:$F$46,L43,$Q$2:$Q$46,"Cursada aprobada")&gt;0))),L43&amp;" ","")&amp;IF(NOT(OR(M43="",COUNTIF($F$2:$F$46,M43)=0,COUNTIFS($F$2:$F$46,M43,$Q$2:$Q$46,"Aprobada")&gt;0,AND(Resumen!$B$15="La cursada aprobada",COUNTIFS($F$2:$F$46,M43,$Q$2:$Q$46,"Cursada aprobada")&gt;0))),M43&amp;" ","")&amp;IF(NOT(OR(N43="",COUNTIF($F$2:$F$46,N43)=0,COUNTIFS($F$2:$F$46,N43,$Q$2:$Q$46,"Aprobada")&gt;0,AND(Resumen!$B$15="La cursada aprobada",COUNTIFS($F$2:$F$46,N43,$Q$2:$Q$46,"Cursada aprobada")&gt;0))),N43&amp;" ","")&amp;IF(NOT(OR(O43="",COUNTIF($F$2:$F$46,O43)=0,COUNTIFS($F$2:$F$46,O43,$Q$2:$Q$46,"Aprobada")&gt;0,AND(Resumen!$B$15="La cursada aprobada",COUNTIFS($F$2:$F$46,O43,$Q$2:$Q$46,"Cursada aprobada")&gt;0))),O43&amp;" ","")&amp;IF(NOT(OR(P43="",COUNTIF($F$2:$F$46,P43)=0,COUNTIFS($F$2:$F$46,P43,$Q$2:$Q$46,"Aprobada")&gt;0,AND(Resumen!$B$15="La cursada aprobada",COUNTIFS($F$2:$F$46,P43,$Q$2:$Q$46,"Cursada aprobada")&gt;0))),P43&amp;" ","")),""))</f>
        <v/>
      </c>
    </row>
    <row r="44" customFormat="false" ht="15" hidden="false" customHeight="false" outlineLevel="0" collapsed="false">
      <c r="A44" s="8" t="s">
        <v>116</v>
      </c>
      <c r="B44" s="8"/>
      <c r="C44" s="9"/>
      <c r="D44" s="9"/>
      <c r="E44" s="9" t="s">
        <v>120</v>
      </c>
      <c r="F44" s="9" t="n">
        <v>296</v>
      </c>
      <c r="G44" s="8" t="s">
        <v>121</v>
      </c>
      <c r="H44" s="9"/>
      <c r="I44" s="9"/>
      <c r="J44" s="9"/>
      <c r="K44" s="9"/>
      <c r="L44" s="9"/>
      <c r="M44" s="9"/>
      <c r="N44" s="9"/>
      <c r="O44" s="9"/>
      <c r="P44" s="9"/>
      <c r="Q44" s="10" t="s">
        <v>62</v>
      </c>
      <c r="R44" s="9" t="str">
        <f aca="false">IF(Q44="Aprobada","Ya aprobada",IF(Q44="Cursada aprobada","Ya cursada",IF(AND(OR(L44="",COUNTIF($F$2:$F$46,L44)=0,COUNTIFS($F$2:$F$46,L44,$Q$2:$Q$46,"Aprobada")&gt;0,AND(Resumen!$B$15="La cursada aprobada",COUNTIFS($F$2:$F$46,L44,$Q$2:$Q$46,"Cursada aprobada")&gt;0)),OR(M44="",COUNTIF($F$2:$F$46,M44)=0,COUNTIFS($F$2:$F$46,M44,$Q$2:$Q$46,"Aprobada")&gt;0,AND(Resumen!$B$15="La cursada aprobada",COUNTIFS($F$2:$F$46,M44,$Q$2:$Q$46,"Cursada aprobada")&gt;0)),OR(N44="",COUNTIF($F$2:$F$46,N44)=0,COUNTIFS($F$2:$F$46,N44,$Q$2:$Q$46,"Aprobada")&gt;0,AND(Resumen!$B$15="La cursada aprobada",COUNTIFS($F$2:$F$46,N44,$Q$2:$Q$46,"Cursada aprobada")&gt;0)),OR(O44="",COUNTIF($F$2:$F$46,O44)=0,COUNTIFS($F$2:$F$46,O44,$Q$2:$Q$46,"Aprobada")&gt;0,AND(Resumen!$B$15="La cursada aprobada",COUNTIFS($F$2:$F$46,O44,$Q$2:$Q$46,"Cursada aprobada")&gt;0)),OR(P44="",COUNTIF($F$2:$F$46,P44)=0,COUNTIFS($F$2:$F$46,P44,$Q$2:$Q$46,"Aprobada")&gt;0,AND(Resumen!$B$15="La cursada aprobada",COUNTIFS($F$2:$F$46,P44,$Q$2:$Q$46,"Cursada aprobada")&gt;0))),"Sí","No")))</f>
        <v>Sí</v>
      </c>
      <c r="S44" s="8" t="str">
        <f aca="false">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</f>
        <v/>
      </c>
      <c r="T44" s="9" t="str">
        <f aca="false">IF(Q44="Cursada aprobada",IF(AND(OR(L44="",COUNTIF($F$2:$F$46,L44)=0,COUNTIFS($F$2:$F$46,L44,$Q$2:$Q$46,"Aprobada")&gt;0),OR(M44="",COUNTIF($F$2:$F$46,M44)=0,COUNTIFS($F$2:$F$46,M44,$Q$2:$Q$46,"Aprobada")&gt;0),OR(N44="",COUNTIF($F$2:$F$46,N44)=0,COUNTIFS($F$2:$F$46,N44,$Q$2:$Q$46,"Aprobada")&gt;0),OR(O44="",COUNTIF($F$2:$F$46,O44)=0,COUNTIFS($F$2:$F$46,O44,$Q$2:$Q$46,"Aprobada")&gt;0),OR(P44="",COUNTIF($F$2:$F$46,P44)=0,COUNTIFS($F$2:$F$46,P44,$Q$2:$Q$46,"Aprobada")&gt;0)),"Sí","No"),"")</f>
        <v/>
      </c>
      <c r="U44" s="9" t="str">
        <f aca="false">IF(Q44="Aprobada",TRIM(IF(NOT(OR(L44="",COUNTIF($F$2:$F$46,L44)=0,COUNTIFS($F$2:$F$46,L44,$Q$2:$Q$46,"Aprobada")&gt;0)),L44&amp;" ","")&amp;IF(NOT(OR(M44="",COUNTIF($F$2:$F$46,M44)=0,COUNTIFS($F$2:$F$46,M44,$Q$2:$Q$46,"Aprobada")&gt;0)),M44&amp;" ","")&amp;IF(NOT(OR(N44="",COUNTIF($F$2:$F$46,N44)=0,COUNTIFS($F$2:$F$46,N44,$Q$2:$Q$46,"Aprobada")&gt;0)),N44&amp;" ","")&amp;IF(NOT(OR(O44="",COUNTIF($F$2:$F$46,O44)=0,COUNTIFS($F$2:$F$46,O44,$Q$2:$Q$46,"Aprobada")&gt;0)),O44&amp;" ","")&amp;IF(NOT(OR(P44="",COUNTIF($F$2:$F$46,P44)=0,COUNTIFS($F$2:$F$46,P44,$Q$2:$Q$46,"Aprobada")&gt;0)),P44&amp;" ","")),IF(Q44="Cursada aprobada",TRIM(IF(NOT(OR(L44="",COUNTIF($F$2:$F$46,L44)=0,COUNTIFS($F$2:$F$46,L44,$Q$2:$Q$46,"Aprobada")&gt;0,AND(Resumen!$B$15="La cursada aprobada",COUNTIFS($F$2:$F$46,L44,$Q$2:$Q$46,"Cursada aprobada")&gt;0))),L44&amp;" ","")&amp;IF(NOT(OR(M44="",COUNTIF($F$2:$F$46,M44)=0,COUNTIFS($F$2:$F$46,M44,$Q$2:$Q$46,"Aprobada")&gt;0,AND(Resumen!$B$15="La cursada aprobada",COUNTIFS($F$2:$F$46,M44,$Q$2:$Q$46,"Cursada aprobada")&gt;0))),M44&amp;" ","")&amp;IF(NOT(OR(N44="",COUNTIF($F$2:$F$46,N44)=0,COUNTIFS($F$2:$F$46,N44,$Q$2:$Q$46,"Aprobada")&gt;0,AND(Resumen!$B$15="La cursada aprobada",COUNTIFS($F$2:$F$46,N44,$Q$2:$Q$46,"Cursada aprobada")&gt;0))),N44&amp;" ","")&amp;IF(NOT(OR(O44="",COUNTIF($F$2:$F$46,O44)=0,COUNTIFS($F$2:$F$46,O44,$Q$2:$Q$46,"Aprobada")&gt;0,AND(Resumen!$B$15="La cursada aprobada",COUNTIFS($F$2:$F$46,O44,$Q$2:$Q$46,"Cursada aprobada")&gt;0))),O44&amp;" ","")&amp;IF(NOT(OR(P44="",COUNTIF($F$2:$F$46,P44)=0,COUNTIFS($F$2:$F$46,P44,$Q$2:$Q$46,"Aprobada")&gt;0,AND(Resumen!$B$15="La cursada aprobada",COUNTIFS($F$2:$F$46,P44,$Q$2:$Q$46,"Cursada aprobada")&gt;0))),P44&amp;" ","")),""))</f>
        <v/>
      </c>
    </row>
    <row r="45" customFormat="false" ht="15" hidden="false" customHeight="false" outlineLevel="0" collapsed="false">
      <c r="A45" s="8" t="s">
        <v>116</v>
      </c>
      <c r="B45" s="8"/>
      <c r="C45" s="9"/>
      <c r="D45" s="9"/>
      <c r="E45" s="9" t="s">
        <v>122</v>
      </c>
      <c r="F45" s="9" t="n">
        <v>364</v>
      </c>
      <c r="G45" s="8" t="s">
        <v>123</v>
      </c>
      <c r="H45" s="9"/>
      <c r="I45" s="9"/>
      <c r="J45" s="9"/>
      <c r="K45" s="9"/>
      <c r="L45" s="9"/>
      <c r="M45" s="9"/>
      <c r="N45" s="9"/>
      <c r="O45" s="9"/>
      <c r="P45" s="9"/>
      <c r="Q45" s="10" t="s">
        <v>62</v>
      </c>
      <c r="R45" s="9" t="str">
        <f aca="false">IF(Q45="Aprobada","Ya aprobada",IF(Q45="Cursada aprobada","Ya cursada",IF(AND(OR(L45="",COUNTIF($F$2:$F$46,L45)=0,COUNTIFS($F$2:$F$46,L45,$Q$2:$Q$46,"Aprobada")&gt;0,AND(Resumen!$B$15="La cursada aprobada",COUNTIFS($F$2:$F$46,L45,$Q$2:$Q$46,"Cursada aprobada")&gt;0)),OR(M45="",COUNTIF($F$2:$F$46,M45)=0,COUNTIFS($F$2:$F$46,M45,$Q$2:$Q$46,"Aprobada")&gt;0,AND(Resumen!$B$15="La cursada aprobada",COUNTIFS($F$2:$F$46,M45,$Q$2:$Q$46,"Cursada aprobada")&gt;0)),OR(N45="",COUNTIF($F$2:$F$46,N45)=0,COUNTIFS($F$2:$F$46,N45,$Q$2:$Q$46,"Aprobada")&gt;0,AND(Resumen!$B$15="La cursada aprobada",COUNTIFS($F$2:$F$46,N45,$Q$2:$Q$46,"Cursada aprobada")&gt;0)),OR(O45="",COUNTIF($F$2:$F$46,O45)=0,COUNTIFS($F$2:$F$46,O45,$Q$2:$Q$46,"Aprobada")&gt;0,AND(Resumen!$B$15="La cursada aprobada",COUNTIFS($F$2:$F$46,O45,$Q$2:$Q$46,"Cursada aprobada")&gt;0)),OR(P45="",COUNTIF($F$2:$F$46,P45)=0,COUNTIFS($F$2:$F$46,P45,$Q$2:$Q$46,"Aprobada")&gt;0,AND(Resumen!$B$15="La cursada aprobada",COUNTIFS($F$2:$F$46,P45,$Q$2:$Q$46,"Cursada aprobada")&gt;0))),"Sí","No")))</f>
        <v>Sí</v>
      </c>
      <c r="S45" s="8" t="str">
        <f aca="false">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</f>
        <v/>
      </c>
      <c r="T45" s="9" t="str">
        <f aca="false">IF(Q45="Cursada aprobada",IF(AND(OR(L45="",COUNTIF($F$2:$F$46,L45)=0,COUNTIFS($F$2:$F$46,L45,$Q$2:$Q$46,"Aprobada")&gt;0),OR(M45="",COUNTIF($F$2:$F$46,M45)=0,COUNTIFS($F$2:$F$46,M45,$Q$2:$Q$46,"Aprobada")&gt;0),OR(N45="",COUNTIF($F$2:$F$46,N45)=0,COUNTIFS($F$2:$F$46,N45,$Q$2:$Q$46,"Aprobada")&gt;0),OR(O45="",COUNTIF($F$2:$F$46,O45)=0,COUNTIFS($F$2:$F$46,O45,$Q$2:$Q$46,"Aprobada")&gt;0),OR(P45="",COUNTIF($F$2:$F$46,P45)=0,COUNTIFS($F$2:$F$46,P45,$Q$2:$Q$46,"Aprobada")&gt;0)),"Sí","No"),"")</f>
        <v/>
      </c>
      <c r="U45" s="9" t="str">
        <f aca="false">IF(Q45="Aprobada",TRIM(IF(NOT(OR(L45="",COUNTIF($F$2:$F$46,L45)=0,COUNTIFS($F$2:$F$46,L45,$Q$2:$Q$46,"Aprobada")&gt;0)),L45&amp;" ","")&amp;IF(NOT(OR(M45="",COUNTIF($F$2:$F$46,M45)=0,COUNTIFS($F$2:$F$46,M45,$Q$2:$Q$46,"Aprobada")&gt;0)),M45&amp;" ","")&amp;IF(NOT(OR(N45="",COUNTIF($F$2:$F$46,N45)=0,COUNTIFS($F$2:$F$46,N45,$Q$2:$Q$46,"Aprobada")&gt;0)),N45&amp;" ","")&amp;IF(NOT(OR(O45="",COUNTIF($F$2:$F$46,O45)=0,COUNTIFS($F$2:$F$46,O45,$Q$2:$Q$46,"Aprobada")&gt;0)),O45&amp;" ","")&amp;IF(NOT(OR(P45="",COUNTIF($F$2:$F$46,P45)=0,COUNTIFS($F$2:$F$46,P45,$Q$2:$Q$46,"Aprobada")&gt;0)),P45&amp;" ","")),IF(Q45="Cursada aprobada",TRIM(IF(NOT(OR(L45="",COUNTIF($F$2:$F$46,L45)=0,COUNTIFS($F$2:$F$46,L45,$Q$2:$Q$46,"Aprobada")&gt;0,AND(Resumen!$B$15="La cursada aprobada",COUNTIFS($F$2:$F$46,L45,$Q$2:$Q$46,"Cursada aprobada")&gt;0))),L45&amp;" ","")&amp;IF(NOT(OR(M45="",COUNTIF($F$2:$F$46,M45)=0,COUNTIFS($F$2:$F$46,M45,$Q$2:$Q$46,"Aprobada")&gt;0,AND(Resumen!$B$15="La cursada aprobada",COUNTIFS($F$2:$F$46,M45,$Q$2:$Q$46,"Cursada aprobada")&gt;0))),M45&amp;" ","")&amp;IF(NOT(OR(N45="",COUNTIF($F$2:$F$46,N45)=0,COUNTIFS($F$2:$F$46,N45,$Q$2:$Q$46,"Aprobada")&gt;0,AND(Resumen!$B$15="La cursada aprobada",COUNTIFS($F$2:$F$46,N45,$Q$2:$Q$46,"Cursada aprobada")&gt;0))),N45&amp;" ","")&amp;IF(NOT(OR(O45="",COUNTIF($F$2:$F$46,O45)=0,COUNTIFS($F$2:$F$46,O45,$Q$2:$Q$46,"Aprobada")&gt;0,AND(Resumen!$B$15="La cursada aprobada",COUNTIFS($F$2:$F$46,O45,$Q$2:$Q$46,"Cursada aprobada")&gt;0))),O45&amp;" ","")&amp;IF(NOT(OR(P45="",COUNTIF($F$2:$F$46,P45)=0,COUNTIFS($F$2:$F$46,P45,$Q$2:$Q$46,"Aprobada")&gt;0,AND(Resumen!$B$15="La cursada aprobada",COUNTIFS($F$2:$F$46,P45,$Q$2:$Q$46,"Cursada aprobada")&gt;0))),P45&amp;" ","")),""))</f>
        <v/>
      </c>
    </row>
    <row r="46" customFormat="false" ht="15" hidden="false" customHeight="false" outlineLevel="0" collapsed="false">
      <c r="A46" s="8" t="s">
        <v>116</v>
      </c>
      <c r="B46" s="8"/>
      <c r="C46" s="9"/>
      <c r="D46" s="9"/>
      <c r="E46" s="9" t="s">
        <v>99</v>
      </c>
      <c r="F46" s="9" t="n">
        <v>288</v>
      </c>
      <c r="G46" s="8" t="s">
        <v>148</v>
      </c>
      <c r="H46" s="9"/>
      <c r="I46" s="9"/>
      <c r="J46" s="9"/>
      <c r="K46" s="9"/>
      <c r="L46" s="9"/>
      <c r="M46" s="9"/>
      <c r="N46" s="9"/>
      <c r="O46" s="9"/>
      <c r="P46" s="9"/>
      <c r="Q46" s="10" t="s">
        <v>62</v>
      </c>
      <c r="R46" s="9" t="str">
        <f aca="false">IF(Q46="Aprobada","Ya aprobada",IF(Q46="Cursada aprobada","Ya cursada",IF(AND(OR(L46="",COUNTIF($F$2:$F$46,L46)=0,COUNTIFS($F$2:$F$46,L46,$Q$2:$Q$46,"Aprobada")&gt;0,AND(Resumen!$B$15="La cursada aprobada",COUNTIFS($F$2:$F$46,L46,$Q$2:$Q$46,"Cursada aprobada")&gt;0)),OR(M46="",COUNTIF($F$2:$F$46,M46)=0,COUNTIFS($F$2:$F$46,M46,$Q$2:$Q$46,"Aprobada")&gt;0,AND(Resumen!$B$15="La cursada aprobada",COUNTIFS($F$2:$F$46,M46,$Q$2:$Q$46,"Cursada aprobada")&gt;0)),OR(N46="",COUNTIF($F$2:$F$46,N46)=0,COUNTIFS($F$2:$F$46,N46,$Q$2:$Q$46,"Aprobada")&gt;0,AND(Resumen!$B$15="La cursada aprobada",COUNTIFS($F$2:$F$46,N46,$Q$2:$Q$46,"Cursada aprobada")&gt;0)),OR(O46="",COUNTIF($F$2:$F$46,O46)=0,COUNTIFS($F$2:$F$46,O46,$Q$2:$Q$46,"Aprobada")&gt;0,AND(Resumen!$B$15="La cursada aprobada",COUNTIFS($F$2:$F$46,O46,$Q$2:$Q$46,"Cursada aprobada")&gt;0)),OR(P46="",COUNTIF($F$2:$F$46,P46)=0,COUNTIFS($F$2:$F$46,P46,$Q$2:$Q$46,"Aprobada")&gt;0,AND(Resumen!$B$15="La cursada aprobada",COUNTIFS($F$2:$F$46,P46,$Q$2:$Q$46,"Cursada aprobada")&gt;0))),"Sí","No")))</f>
        <v>Sí</v>
      </c>
      <c r="S46" s="8" t="str">
        <f aca="false">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</f>
        <v/>
      </c>
      <c r="T46" s="9" t="str">
        <f aca="false">IF(Q46="Cursada aprobada",IF(AND(OR(L46="",COUNTIF($F$2:$F$46,L46)=0,COUNTIFS($F$2:$F$46,L46,$Q$2:$Q$46,"Aprobada")&gt;0),OR(M46="",COUNTIF($F$2:$F$46,M46)=0,COUNTIFS($F$2:$F$46,M46,$Q$2:$Q$46,"Aprobada")&gt;0),OR(N46="",COUNTIF($F$2:$F$46,N46)=0,COUNTIFS($F$2:$F$46,N46,$Q$2:$Q$46,"Aprobada")&gt;0),OR(O46="",COUNTIF($F$2:$F$46,O46)=0,COUNTIFS($F$2:$F$46,O46,$Q$2:$Q$46,"Aprobada")&gt;0),OR(P46="",COUNTIF($F$2:$F$46,P46)=0,COUNTIFS($F$2:$F$46,P46,$Q$2:$Q$46,"Aprobada")&gt;0)),"Sí","No"),"")</f>
        <v/>
      </c>
      <c r="U46" s="9" t="str">
        <f aca="false">IF(Q46="Aprobada",TRIM(IF(NOT(OR(L46="",COUNTIF($F$2:$F$46,L46)=0,COUNTIFS($F$2:$F$46,L46,$Q$2:$Q$46,"Aprobada")&gt;0)),L46&amp;" ","")&amp;IF(NOT(OR(M46="",COUNTIF($F$2:$F$46,M46)=0,COUNTIFS($F$2:$F$46,M46,$Q$2:$Q$46,"Aprobada")&gt;0)),M46&amp;" ","")&amp;IF(NOT(OR(N46="",COUNTIF($F$2:$F$46,N46)=0,COUNTIFS($F$2:$F$46,N46,$Q$2:$Q$46,"Aprobada")&gt;0)),N46&amp;" ","")&amp;IF(NOT(OR(O46="",COUNTIF($F$2:$F$46,O46)=0,COUNTIFS($F$2:$F$46,O46,$Q$2:$Q$46,"Aprobada")&gt;0)),O46&amp;" ","")&amp;IF(NOT(OR(P46="",COUNTIF($F$2:$F$46,P46)=0,COUNTIFS($F$2:$F$46,P46,$Q$2:$Q$46,"Aprobada")&gt;0)),P46&amp;" ","")),IF(Q46="Cursada aprobada",TRIM(IF(NOT(OR(L46="",COUNTIF($F$2:$F$46,L46)=0,COUNTIFS($F$2:$F$46,L46,$Q$2:$Q$46,"Aprobada")&gt;0,AND(Resumen!$B$15="La cursada aprobada",COUNTIFS($F$2:$F$46,L46,$Q$2:$Q$46,"Cursada aprobada")&gt;0))),L46&amp;" ","")&amp;IF(NOT(OR(M46="",COUNTIF($F$2:$F$46,M46)=0,COUNTIFS($F$2:$F$46,M46,$Q$2:$Q$46,"Aprobada")&gt;0,AND(Resumen!$B$15="La cursada aprobada",COUNTIFS($F$2:$F$46,M46,$Q$2:$Q$46,"Cursada aprobada")&gt;0))),M46&amp;" ","")&amp;IF(NOT(OR(N46="",COUNTIF($F$2:$F$46,N46)=0,COUNTIFS($F$2:$F$46,N46,$Q$2:$Q$46,"Aprobada")&gt;0,AND(Resumen!$B$15="La cursada aprobada",COUNTIFS($F$2:$F$46,N46,$Q$2:$Q$46,"Cursada aprobada")&gt;0))),N46&amp;" ","")&amp;IF(NOT(OR(O46="",COUNTIF($F$2:$F$46,O46)=0,COUNTIFS($F$2:$F$46,O46,$Q$2:$Q$46,"Aprobada")&gt;0,AND(Resumen!$B$15="La cursada aprobada",COUNTIFS($F$2:$F$46,O46,$Q$2:$Q$46,"Cursada aprobada")&gt;0))),O46&amp;" ","")&amp;IF(NOT(OR(P46="",COUNTIF($F$2:$F$46,P46)=0,COUNTIFS($F$2:$F$46,P46,$Q$2:$Q$46,"Aprobada")&gt;0,AND(Resumen!$B$15="La cursada aprobada",COUNTIFS($F$2:$F$46,P46,$Q$2:$Q$46,"Cursada aprobada")&gt;0))),P46&amp;" ","")),""))</f>
        <v/>
      </c>
    </row>
  </sheetData>
  <autoFilter ref="A1:U46"/>
  <conditionalFormatting sqref="Q2:Q4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46">
    <cfRule type="expression" priority="4" aboveAverage="0" equalAverage="0" bottom="0" percent="0" rank="0" text="" dxfId="10">
      <formula>LEN($U2)&gt;0</formula>
    </cfRule>
  </conditionalFormatting>
  <conditionalFormatting sqref="T2:T4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4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4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58</v>
      </c>
      <c r="B2" s="8"/>
      <c r="C2" s="9" t="n">
        <v>1</v>
      </c>
      <c r="D2" s="9" t="n">
        <v>1</v>
      </c>
      <c r="E2" s="9" t="s">
        <v>59</v>
      </c>
      <c r="F2" s="9" t="n">
        <v>101</v>
      </c>
      <c r="G2" s="8" t="s">
        <v>60</v>
      </c>
      <c r="H2" s="9" t="s">
        <v>61</v>
      </c>
      <c r="I2" s="9" t="n">
        <v>6</v>
      </c>
      <c r="J2" s="9"/>
      <c r="K2" s="9" t="n">
        <v>96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cursada",IF(AND(OR(L2="",COUNTIF($F$2:$F$51,L2)=0,COUNTIFS($F$2:$F$51,L2,$Q$2:$Q$51,"Aprobada")&gt;0,AND(Resumen!$B$15="La cursada aprobada",COUNTIFS($F$2:$F$51,L2,$Q$2:$Q$51,"Cursada aprobada")&gt;0)),OR(M2="",COUNTIF($F$2:$F$51,M2)=0,COUNTIFS($F$2:$F$51,M2,$Q$2:$Q$51,"Aprobada")&gt;0,AND(Resumen!$B$15="La cursada aprobada",COUNTIFS($F$2:$F$51,M2,$Q$2:$Q$51,"Cursada aprobada")&gt;0)),OR(N2="",COUNTIF($F$2:$F$51,N2)=0,COUNTIFS($F$2:$F$51,N2,$Q$2:$Q$51,"Aprobada")&gt;0,AND(Resumen!$B$15="La cursada aprobada",COUNTIFS($F$2:$F$51,N2,$Q$2:$Q$51,"Cursada aprobada")&gt;0)),OR(O2="",COUNTIF($F$2:$F$51,O2)=0,COUNTIFS($F$2:$F$51,O2,$Q$2:$Q$51,"Aprobada")&gt;0,AND(Resumen!$B$15="La cursada aprobada",COUNTIFS($F$2:$F$51,O2,$Q$2:$Q$51,"Cursada aprobada")&gt;0)),OR(P2="",COUNTIF($F$2:$F$51,P2)=0,COUNTIFS($F$2:$F$51,P2,$Q$2:$Q$51,"Aprobada")&gt;0,AND(Resumen!$B$15="La cursada aprobada",COUNTIFS($F$2:$F$51,P2,$Q$2:$Q$51,"Cursada aprobada")&gt;0))),"Sí","No")))</f>
        <v>Sí</v>
      </c>
      <c r="S2" s="8" t="str">
        <f aca="false">TRIM(IF(NOT(OR(L2="",COUNTIF($F$2:$F$51,L2)=0,COUNTIFS($F$2:$F$51,L2,$Q$2:$Q$51,"Aprobada")&gt;0,AND(Resumen!$B$15="La cursada aprobada",COUNTIFS($F$2:$F$51,L2,$Q$2:$Q$51,"Cursada aprobada")&gt;0))),L2&amp;" ","")&amp;IF(NOT(OR(M2="",COUNTIF($F$2:$F$51,M2)=0,COUNTIFS($F$2:$F$51,M2,$Q$2:$Q$51,"Aprobada")&gt;0,AND(Resumen!$B$15="La cursada aprobada",COUNTIFS($F$2:$F$51,M2,$Q$2:$Q$51,"Cursada aprobada")&gt;0))),M2&amp;" ","")&amp;IF(NOT(OR(N2="",COUNTIF($F$2:$F$51,N2)=0,COUNTIFS($F$2:$F$51,N2,$Q$2:$Q$51,"Aprobada")&gt;0,AND(Resumen!$B$15="La cursada aprobada",COUNTIFS($F$2:$F$51,N2,$Q$2:$Q$51,"Cursada aprobada")&gt;0))),N2&amp;" ","")&amp;IF(NOT(OR(O2="",COUNTIF($F$2:$F$51,O2)=0,COUNTIFS($F$2:$F$51,O2,$Q$2:$Q$51,"Aprobada")&gt;0,AND(Resumen!$B$15="La cursada aprobada",COUNTIFS($F$2:$F$51,O2,$Q$2:$Q$51,"Cursada aprobada")&gt;0))),O2&amp;" ","")&amp;IF(NOT(OR(P2="",COUNTIF($F$2:$F$51,P2)=0,COUNTIFS($F$2:$F$51,P2,$Q$2:$Q$51,"Aprobada")&gt;0,AND(Resumen!$B$15="La cursada aprobada",COUNTIFS($F$2:$F$51,P2,$Q$2:$Q$51,"Cursada aprobada")&gt;0))),P2&amp;" ",""))</f>
        <v/>
      </c>
      <c r="T2" s="9" t="str">
        <f aca="false">IF(Q2="Cursada aprobada",IF(AND(OR(L2="",COUNTIF($F$2:$F$51,L2)=0,COUNTIFS($F$2:$F$51,L2,$Q$2:$Q$51,"Aprobada")&gt;0),OR(M2="",COUNTIF($F$2:$F$51,M2)=0,COUNTIFS($F$2:$F$51,M2,$Q$2:$Q$51,"Aprobada")&gt;0),OR(N2="",COUNTIF($F$2:$F$51,N2)=0,COUNTIFS($F$2:$F$51,N2,$Q$2:$Q$51,"Aprobada")&gt;0),OR(O2="",COUNTIF($F$2:$F$51,O2)=0,COUNTIFS($F$2:$F$51,O2,$Q$2:$Q$51,"Aprobada")&gt;0),OR(P2="",COUNTIF($F$2:$F$51,P2)=0,COUNTIFS($F$2:$F$51,P2,$Q$2:$Q$51,"Aprobada")&gt;0)),"Sí","No"),"")</f>
        <v/>
      </c>
      <c r="U2" s="9" t="str">
        <f aca="false">IF(Q2="Aprobada",TRIM(IF(NOT(OR(L2="",COUNTIF($F$2:$F$51,L2)=0,COUNTIFS($F$2:$F$51,L2,$Q$2:$Q$51,"Aprobada")&gt;0)),L2&amp;" ","")&amp;IF(NOT(OR(M2="",COUNTIF($F$2:$F$51,M2)=0,COUNTIFS($F$2:$F$51,M2,$Q$2:$Q$51,"Aprobada")&gt;0)),M2&amp;" ","")&amp;IF(NOT(OR(N2="",COUNTIF($F$2:$F$51,N2)=0,COUNTIFS($F$2:$F$51,N2,$Q$2:$Q$51,"Aprobada")&gt;0)),N2&amp;" ","")&amp;IF(NOT(OR(O2="",COUNTIF($F$2:$F$51,O2)=0,COUNTIFS($F$2:$F$51,O2,$Q$2:$Q$51,"Aprobada")&gt;0)),O2&amp;" ","")&amp;IF(NOT(OR(P2="",COUNTIF($F$2:$F$51,P2)=0,COUNTIFS($F$2:$F$51,P2,$Q$2:$Q$51,"Aprobada")&gt;0)),P2&amp;" ","")),IF(Q2="Cursada aprobada",TRIM(IF(NOT(OR(L2="",COUNTIF($F$2:$F$51,L2)=0,COUNTIFS($F$2:$F$51,L2,$Q$2:$Q$51,"Aprobada")&gt;0,AND(Resumen!$B$15="La cursada aprobada",COUNTIFS($F$2:$F$51,L2,$Q$2:$Q$51,"Cursada aprobada")&gt;0))),L2&amp;" ","")&amp;IF(NOT(OR(M2="",COUNTIF($F$2:$F$51,M2)=0,COUNTIFS($F$2:$F$51,M2,$Q$2:$Q$51,"Aprobada")&gt;0,AND(Resumen!$B$15="La cursada aprobada",COUNTIFS($F$2:$F$51,M2,$Q$2:$Q$51,"Cursada aprobada")&gt;0))),M2&amp;" ","")&amp;IF(NOT(OR(N2="",COUNTIF($F$2:$F$51,N2)=0,COUNTIFS($F$2:$F$51,N2,$Q$2:$Q$51,"Aprobada")&gt;0,AND(Resumen!$B$15="La cursada aprobada",COUNTIFS($F$2:$F$51,N2,$Q$2:$Q$51,"Cursada aprobada")&gt;0))),N2&amp;" ","")&amp;IF(NOT(OR(O2="",COUNTIF($F$2:$F$51,O2)=0,COUNTIFS($F$2:$F$51,O2,$Q$2:$Q$51,"Aprobada")&gt;0,AND(Resumen!$B$15="La cursada aprobada",COUNTIFS($F$2:$F$51,O2,$Q$2:$Q$51,"Cursada aprobada")&gt;0))),O2&amp;" ","")&amp;IF(NOT(OR(P2="",COUNTIF($F$2:$F$51,P2)=0,COUNTIFS($F$2:$F$51,P2,$Q$2:$Q$51,"Aprobada")&gt;0,AND(Resumen!$B$15="La cursada aprobada",COUNTIFS($F$2:$F$51,P2,$Q$2:$Q$51,"Cursada aprobada")&gt;0))),P2&amp;" ","")),""))</f>
        <v/>
      </c>
    </row>
    <row r="3" customFormat="false" ht="15" hidden="false" customHeight="false" outlineLevel="0" collapsed="false">
      <c r="A3" s="8" t="s">
        <v>58</v>
      </c>
      <c r="B3" s="8"/>
      <c r="C3" s="9" t="n">
        <v>1</v>
      </c>
      <c r="D3" s="9" t="n">
        <v>1</v>
      </c>
      <c r="E3" s="9" t="s">
        <v>63</v>
      </c>
      <c r="F3" s="9" t="n">
        <v>104</v>
      </c>
      <c r="G3" s="8" t="s">
        <v>64</v>
      </c>
      <c r="H3" s="9" t="s">
        <v>61</v>
      </c>
      <c r="I3" s="9" t="n">
        <v>6</v>
      </c>
      <c r="J3" s="9"/>
      <c r="K3" s="9" t="n">
        <v>96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cursada",IF(AND(OR(L3="",COUNTIF($F$2:$F$51,L3)=0,COUNTIFS($F$2:$F$51,L3,$Q$2:$Q$51,"Aprobada")&gt;0,AND(Resumen!$B$15="La cursada aprobada",COUNTIFS($F$2:$F$51,L3,$Q$2:$Q$51,"Cursada aprobada")&gt;0)),OR(M3="",COUNTIF($F$2:$F$51,M3)=0,COUNTIFS($F$2:$F$51,M3,$Q$2:$Q$51,"Aprobada")&gt;0,AND(Resumen!$B$15="La cursada aprobada",COUNTIFS($F$2:$F$51,M3,$Q$2:$Q$51,"Cursada aprobada")&gt;0)),OR(N3="",COUNTIF($F$2:$F$51,N3)=0,COUNTIFS($F$2:$F$51,N3,$Q$2:$Q$51,"Aprobada")&gt;0,AND(Resumen!$B$15="La cursada aprobada",COUNTIFS($F$2:$F$51,N3,$Q$2:$Q$51,"Cursada aprobada")&gt;0)),OR(O3="",COUNTIF($F$2:$F$51,O3)=0,COUNTIFS($F$2:$F$51,O3,$Q$2:$Q$51,"Aprobada")&gt;0,AND(Resumen!$B$15="La cursada aprobada",COUNTIFS($F$2:$F$51,O3,$Q$2:$Q$51,"Cursada aprobada")&gt;0)),OR(P3="",COUNTIF($F$2:$F$51,P3)=0,COUNTIFS($F$2:$F$51,P3,$Q$2:$Q$51,"Aprobada")&gt;0,AND(Resumen!$B$15="La cursada aprobada",COUNTIFS($F$2:$F$51,P3,$Q$2:$Q$51,"Cursada aprobada")&gt;0))),"Sí","No")))</f>
        <v>Sí</v>
      </c>
      <c r="S3" s="8" t="str">
        <f aca="false">TRIM(IF(NOT(OR(L3="",COUNTIF($F$2:$F$51,L3)=0,COUNTIFS($F$2:$F$51,L3,$Q$2:$Q$51,"Aprobada")&gt;0,AND(Resumen!$B$15="La cursada aprobada",COUNTIFS($F$2:$F$51,L3,$Q$2:$Q$51,"Cursada aprobada")&gt;0))),L3&amp;" ","")&amp;IF(NOT(OR(M3="",COUNTIF($F$2:$F$51,M3)=0,COUNTIFS($F$2:$F$51,M3,$Q$2:$Q$51,"Aprobada")&gt;0,AND(Resumen!$B$15="La cursada aprobada",COUNTIFS($F$2:$F$51,M3,$Q$2:$Q$51,"Cursada aprobada")&gt;0))),M3&amp;" ","")&amp;IF(NOT(OR(N3="",COUNTIF($F$2:$F$51,N3)=0,COUNTIFS($F$2:$F$51,N3,$Q$2:$Q$51,"Aprobada")&gt;0,AND(Resumen!$B$15="La cursada aprobada",COUNTIFS($F$2:$F$51,N3,$Q$2:$Q$51,"Cursada aprobada")&gt;0))),N3&amp;" ","")&amp;IF(NOT(OR(O3="",COUNTIF($F$2:$F$51,O3)=0,COUNTIFS($F$2:$F$51,O3,$Q$2:$Q$51,"Aprobada")&gt;0,AND(Resumen!$B$15="La cursada aprobada",COUNTIFS($F$2:$F$51,O3,$Q$2:$Q$51,"Cursada aprobada")&gt;0))),O3&amp;" ","")&amp;IF(NOT(OR(P3="",COUNTIF($F$2:$F$51,P3)=0,COUNTIFS($F$2:$F$51,P3,$Q$2:$Q$51,"Aprobada")&gt;0,AND(Resumen!$B$15="La cursada aprobada",COUNTIFS($F$2:$F$51,P3,$Q$2:$Q$51,"Cursada aprobada")&gt;0))),P3&amp;" ",""))</f>
        <v/>
      </c>
      <c r="T3" s="9" t="str">
        <f aca="false">IF(Q3="Cursada aprobada",IF(AND(OR(L3="",COUNTIF($F$2:$F$51,L3)=0,COUNTIFS($F$2:$F$51,L3,$Q$2:$Q$51,"Aprobada")&gt;0),OR(M3="",COUNTIF($F$2:$F$51,M3)=0,COUNTIFS($F$2:$F$51,M3,$Q$2:$Q$51,"Aprobada")&gt;0),OR(N3="",COUNTIF($F$2:$F$51,N3)=0,COUNTIFS($F$2:$F$51,N3,$Q$2:$Q$51,"Aprobada")&gt;0),OR(O3="",COUNTIF($F$2:$F$51,O3)=0,COUNTIFS($F$2:$F$51,O3,$Q$2:$Q$51,"Aprobada")&gt;0),OR(P3="",COUNTIF($F$2:$F$51,P3)=0,COUNTIFS($F$2:$F$51,P3,$Q$2:$Q$51,"Aprobada")&gt;0)),"Sí","No"),"")</f>
        <v/>
      </c>
      <c r="U3" s="9" t="str">
        <f aca="false">IF(Q3="Aprobada",TRIM(IF(NOT(OR(L3="",COUNTIF($F$2:$F$51,L3)=0,COUNTIFS($F$2:$F$51,L3,$Q$2:$Q$51,"Aprobada")&gt;0)),L3&amp;" ","")&amp;IF(NOT(OR(M3="",COUNTIF($F$2:$F$51,M3)=0,COUNTIFS($F$2:$F$51,M3,$Q$2:$Q$51,"Aprobada")&gt;0)),M3&amp;" ","")&amp;IF(NOT(OR(N3="",COUNTIF($F$2:$F$51,N3)=0,COUNTIFS($F$2:$F$51,N3,$Q$2:$Q$51,"Aprobada")&gt;0)),N3&amp;" ","")&amp;IF(NOT(OR(O3="",COUNTIF($F$2:$F$51,O3)=0,COUNTIFS($F$2:$F$51,O3,$Q$2:$Q$51,"Aprobada")&gt;0)),O3&amp;" ","")&amp;IF(NOT(OR(P3="",COUNTIF($F$2:$F$51,P3)=0,COUNTIFS($F$2:$F$51,P3,$Q$2:$Q$51,"Aprobada")&gt;0)),P3&amp;" ","")),IF(Q3="Cursada aprobada",TRIM(IF(NOT(OR(L3="",COUNTIF($F$2:$F$51,L3)=0,COUNTIFS($F$2:$F$51,L3,$Q$2:$Q$51,"Aprobada")&gt;0,AND(Resumen!$B$15="La cursada aprobada",COUNTIFS($F$2:$F$51,L3,$Q$2:$Q$51,"Cursada aprobada")&gt;0))),L3&amp;" ","")&amp;IF(NOT(OR(M3="",COUNTIF($F$2:$F$51,M3)=0,COUNTIFS($F$2:$F$51,M3,$Q$2:$Q$51,"Aprobada")&gt;0,AND(Resumen!$B$15="La cursada aprobada",COUNTIFS($F$2:$F$51,M3,$Q$2:$Q$51,"Cursada aprobada")&gt;0))),M3&amp;" ","")&amp;IF(NOT(OR(N3="",COUNTIF($F$2:$F$51,N3)=0,COUNTIFS($F$2:$F$51,N3,$Q$2:$Q$51,"Aprobada")&gt;0,AND(Resumen!$B$15="La cursada aprobada",COUNTIFS($F$2:$F$51,N3,$Q$2:$Q$51,"Cursada aprobada")&gt;0))),N3&amp;" ","")&amp;IF(NOT(OR(O3="",COUNTIF($F$2:$F$51,O3)=0,COUNTIFS($F$2:$F$51,O3,$Q$2:$Q$51,"Aprobada")&gt;0,AND(Resumen!$B$15="La cursada aprobada",COUNTIFS($F$2:$F$51,O3,$Q$2:$Q$51,"Cursada aprobada")&gt;0))),O3&amp;" ","")&amp;IF(NOT(OR(P3="",COUNTIF($F$2:$F$51,P3)=0,COUNTIFS($F$2:$F$51,P3,$Q$2:$Q$51,"Aprobada")&gt;0,AND(Resumen!$B$15="La cursada aprobada",COUNTIFS($F$2:$F$51,P3,$Q$2:$Q$51,"Cursada aprobada")&gt;0))),P3&amp;" ","")),""))</f>
        <v/>
      </c>
    </row>
    <row r="4" customFormat="false" ht="15" hidden="false" customHeight="false" outlineLevel="0" collapsed="false">
      <c r="A4" s="8" t="s">
        <v>58</v>
      </c>
      <c r="B4" s="8"/>
      <c r="C4" s="9" t="n">
        <v>1</v>
      </c>
      <c r="D4" s="9" t="n">
        <v>1</v>
      </c>
      <c r="E4" s="9" t="s">
        <v>65</v>
      </c>
      <c r="F4" s="9" t="n">
        <v>102</v>
      </c>
      <c r="G4" s="8" t="s">
        <v>66</v>
      </c>
      <c r="H4" s="9" t="s">
        <v>61</v>
      </c>
      <c r="I4" s="9" t="n">
        <v>6</v>
      </c>
      <c r="J4" s="9"/>
      <c r="K4" s="9" t="n">
        <v>96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cursada",IF(AND(OR(L4="",COUNTIF($F$2:$F$51,L4)=0,COUNTIFS($F$2:$F$51,L4,$Q$2:$Q$51,"Aprobada")&gt;0,AND(Resumen!$B$15="La cursada aprobada",COUNTIFS($F$2:$F$51,L4,$Q$2:$Q$51,"Cursada aprobada")&gt;0)),OR(M4="",COUNTIF($F$2:$F$51,M4)=0,COUNTIFS($F$2:$F$51,M4,$Q$2:$Q$51,"Aprobada")&gt;0,AND(Resumen!$B$15="La cursada aprobada",COUNTIFS($F$2:$F$51,M4,$Q$2:$Q$51,"Cursada aprobada")&gt;0)),OR(N4="",COUNTIF($F$2:$F$51,N4)=0,COUNTIFS($F$2:$F$51,N4,$Q$2:$Q$51,"Aprobada")&gt;0,AND(Resumen!$B$15="La cursada aprobada",COUNTIFS($F$2:$F$51,N4,$Q$2:$Q$51,"Cursada aprobada")&gt;0)),OR(O4="",COUNTIF($F$2:$F$51,O4)=0,COUNTIFS($F$2:$F$51,O4,$Q$2:$Q$51,"Aprobada")&gt;0,AND(Resumen!$B$15="La cursada aprobada",COUNTIFS($F$2:$F$51,O4,$Q$2:$Q$51,"Cursada aprobada")&gt;0)),OR(P4="",COUNTIF($F$2:$F$51,P4)=0,COUNTIFS($F$2:$F$51,P4,$Q$2:$Q$51,"Aprobada")&gt;0,AND(Resumen!$B$15="La cursada aprobada",COUNTIFS($F$2:$F$51,P4,$Q$2:$Q$51,"Cursada aprobada")&gt;0))),"Sí","No")))</f>
        <v>Sí</v>
      </c>
      <c r="S4" s="8" t="str">
        <f aca="false">TRIM(IF(NOT(OR(L4="",COUNTIF($F$2:$F$51,L4)=0,COUNTIFS($F$2:$F$51,L4,$Q$2:$Q$51,"Aprobada")&gt;0,AND(Resumen!$B$15="La cursada aprobada",COUNTIFS($F$2:$F$51,L4,$Q$2:$Q$51,"Cursada aprobada")&gt;0))),L4&amp;" ","")&amp;IF(NOT(OR(M4="",COUNTIF($F$2:$F$51,M4)=0,COUNTIFS($F$2:$F$51,M4,$Q$2:$Q$51,"Aprobada")&gt;0,AND(Resumen!$B$15="La cursada aprobada",COUNTIFS($F$2:$F$51,M4,$Q$2:$Q$51,"Cursada aprobada")&gt;0))),M4&amp;" ","")&amp;IF(NOT(OR(N4="",COUNTIF($F$2:$F$51,N4)=0,COUNTIFS($F$2:$F$51,N4,$Q$2:$Q$51,"Aprobada")&gt;0,AND(Resumen!$B$15="La cursada aprobada",COUNTIFS($F$2:$F$51,N4,$Q$2:$Q$51,"Cursada aprobada")&gt;0))),N4&amp;" ","")&amp;IF(NOT(OR(O4="",COUNTIF($F$2:$F$51,O4)=0,COUNTIFS($F$2:$F$51,O4,$Q$2:$Q$51,"Aprobada")&gt;0,AND(Resumen!$B$15="La cursada aprobada",COUNTIFS($F$2:$F$51,O4,$Q$2:$Q$51,"Cursada aprobada")&gt;0))),O4&amp;" ","")&amp;IF(NOT(OR(P4="",COUNTIF($F$2:$F$51,P4)=0,COUNTIFS($F$2:$F$51,P4,$Q$2:$Q$51,"Aprobada")&gt;0,AND(Resumen!$B$15="La cursada aprobada",COUNTIFS($F$2:$F$51,P4,$Q$2:$Q$51,"Cursada aprobada")&gt;0))),P4&amp;" ",""))</f>
        <v/>
      </c>
      <c r="T4" s="9" t="str">
        <f aca="false">IF(Q4="Cursada aprobada",IF(AND(OR(L4="",COUNTIF($F$2:$F$51,L4)=0,COUNTIFS($F$2:$F$51,L4,$Q$2:$Q$51,"Aprobada")&gt;0),OR(M4="",COUNTIF($F$2:$F$51,M4)=0,COUNTIFS($F$2:$F$51,M4,$Q$2:$Q$51,"Aprobada")&gt;0),OR(N4="",COUNTIF($F$2:$F$51,N4)=0,COUNTIFS($F$2:$F$51,N4,$Q$2:$Q$51,"Aprobada")&gt;0),OR(O4="",COUNTIF($F$2:$F$51,O4)=0,COUNTIFS($F$2:$F$51,O4,$Q$2:$Q$51,"Aprobada")&gt;0),OR(P4="",COUNTIF($F$2:$F$51,P4)=0,COUNTIFS($F$2:$F$51,P4,$Q$2:$Q$51,"Aprobada")&gt;0)),"Sí","No"),"")</f>
        <v/>
      </c>
      <c r="U4" s="9" t="str">
        <f aca="false">IF(Q4="Aprobada",TRIM(IF(NOT(OR(L4="",COUNTIF($F$2:$F$51,L4)=0,COUNTIFS($F$2:$F$51,L4,$Q$2:$Q$51,"Aprobada")&gt;0)),L4&amp;" ","")&amp;IF(NOT(OR(M4="",COUNTIF($F$2:$F$51,M4)=0,COUNTIFS($F$2:$F$51,M4,$Q$2:$Q$51,"Aprobada")&gt;0)),M4&amp;" ","")&amp;IF(NOT(OR(N4="",COUNTIF($F$2:$F$51,N4)=0,COUNTIFS($F$2:$F$51,N4,$Q$2:$Q$51,"Aprobada")&gt;0)),N4&amp;" ","")&amp;IF(NOT(OR(O4="",COUNTIF($F$2:$F$51,O4)=0,COUNTIFS($F$2:$F$51,O4,$Q$2:$Q$51,"Aprobada")&gt;0)),O4&amp;" ","")&amp;IF(NOT(OR(P4="",COUNTIF($F$2:$F$51,P4)=0,COUNTIFS($F$2:$F$51,P4,$Q$2:$Q$51,"Aprobada")&gt;0)),P4&amp;" ","")),IF(Q4="Cursada aprobada",TRIM(IF(NOT(OR(L4="",COUNTIF($F$2:$F$51,L4)=0,COUNTIFS($F$2:$F$51,L4,$Q$2:$Q$51,"Aprobada")&gt;0,AND(Resumen!$B$15="La cursada aprobada",COUNTIFS($F$2:$F$51,L4,$Q$2:$Q$51,"Cursada aprobada")&gt;0))),L4&amp;" ","")&amp;IF(NOT(OR(M4="",COUNTIF($F$2:$F$51,M4)=0,COUNTIFS($F$2:$F$51,M4,$Q$2:$Q$51,"Aprobada")&gt;0,AND(Resumen!$B$15="La cursada aprobada",COUNTIFS($F$2:$F$51,M4,$Q$2:$Q$51,"Cursada aprobada")&gt;0))),M4&amp;" ","")&amp;IF(NOT(OR(N4="",COUNTIF($F$2:$F$51,N4)=0,COUNTIFS($F$2:$F$51,N4,$Q$2:$Q$51,"Aprobada")&gt;0,AND(Resumen!$B$15="La cursada aprobada",COUNTIFS($F$2:$F$51,N4,$Q$2:$Q$51,"Cursada aprobada")&gt;0))),N4&amp;" ","")&amp;IF(NOT(OR(O4="",COUNTIF($F$2:$F$51,O4)=0,COUNTIFS($F$2:$F$51,O4,$Q$2:$Q$51,"Aprobada")&gt;0,AND(Resumen!$B$15="La cursada aprobada",COUNTIFS($F$2:$F$51,O4,$Q$2:$Q$51,"Cursada aprobada")&gt;0))),O4&amp;" ","")&amp;IF(NOT(OR(P4="",COUNTIF($F$2:$F$51,P4)=0,COUNTIFS($F$2:$F$51,P4,$Q$2:$Q$51,"Aprobada")&gt;0,AND(Resumen!$B$15="La cursada aprobada",COUNTIFS($F$2:$F$51,P4,$Q$2:$Q$51,"Cursada aprobada")&gt;0))),P4&amp;" ","")),""))</f>
        <v/>
      </c>
    </row>
    <row r="5" customFormat="false" ht="15" hidden="false" customHeight="false" outlineLevel="0" collapsed="false">
      <c r="A5" s="8" t="s">
        <v>58</v>
      </c>
      <c r="B5" s="8"/>
      <c r="C5" s="9" t="n">
        <v>1</v>
      </c>
      <c r="D5" s="9" t="n">
        <v>2</v>
      </c>
      <c r="E5" s="9" t="s">
        <v>67</v>
      </c>
      <c r="F5" s="9" t="n">
        <v>103</v>
      </c>
      <c r="G5" s="8" t="s">
        <v>68</v>
      </c>
      <c r="H5" s="9" t="s">
        <v>61</v>
      </c>
      <c r="I5" s="9" t="n">
        <v>6</v>
      </c>
      <c r="J5" s="9"/>
      <c r="K5" s="9" t="n">
        <v>96</v>
      </c>
      <c r="L5" s="9"/>
      <c r="M5" s="9"/>
      <c r="N5" s="9"/>
      <c r="O5" s="9"/>
      <c r="P5" s="9"/>
      <c r="Q5" s="10" t="s">
        <v>62</v>
      </c>
      <c r="R5" s="9" t="str">
        <f aca="false">IF(Q5="Aprobada","Ya aprobada",IF(Q5="Cursada aprobada","Ya cursada",IF(AND(OR(L5="",COUNTIF($F$2:$F$51,L5)=0,COUNTIFS($F$2:$F$51,L5,$Q$2:$Q$51,"Aprobada")&gt;0,AND(Resumen!$B$15="La cursada aprobada",COUNTIFS($F$2:$F$51,L5,$Q$2:$Q$51,"Cursada aprobada")&gt;0)),OR(M5="",COUNTIF($F$2:$F$51,M5)=0,COUNTIFS($F$2:$F$51,M5,$Q$2:$Q$51,"Aprobada")&gt;0,AND(Resumen!$B$15="La cursada aprobada",COUNTIFS($F$2:$F$51,M5,$Q$2:$Q$51,"Cursada aprobada")&gt;0)),OR(N5="",COUNTIF($F$2:$F$51,N5)=0,COUNTIFS($F$2:$F$51,N5,$Q$2:$Q$51,"Aprobada")&gt;0,AND(Resumen!$B$15="La cursada aprobada",COUNTIFS($F$2:$F$51,N5,$Q$2:$Q$51,"Cursada aprobada")&gt;0)),OR(O5="",COUNTIF($F$2:$F$51,O5)=0,COUNTIFS($F$2:$F$51,O5,$Q$2:$Q$51,"Aprobada")&gt;0,AND(Resumen!$B$15="La cursada aprobada",COUNTIFS($F$2:$F$51,O5,$Q$2:$Q$51,"Cursada aprobada")&gt;0)),OR(P5="",COUNTIF($F$2:$F$51,P5)=0,COUNTIFS($F$2:$F$51,P5,$Q$2:$Q$51,"Aprobada")&gt;0,AND(Resumen!$B$15="La cursada aprobada",COUNTIFS($F$2:$F$51,P5,$Q$2:$Q$51,"Cursada aprobada")&gt;0))),"Sí","No")))</f>
        <v>Sí</v>
      </c>
      <c r="S5" s="8" t="str">
        <f aca="false">TRIM(IF(NOT(OR(L5="",COUNTIF($F$2:$F$51,L5)=0,COUNTIFS($F$2:$F$51,L5,$Q$2:$Q$51,"Aprobada")&gt;0,AND(Resumen!$B$15="La cursada aprobada",COUNTIFS($F$2:$F$51,L5,$Q$2:$Q$51,"Cursada aprobada")&gt;0))),L5&amp;" ","")&amp;IF(NOT(OR(M5="",COUNTIF($F$2:$F$51,M5)=0,COUNTIFS($F$2:$F$51,M5,$Q$2:$Q$51,"Aprobada")&gt;0,AND(Resumen!$B$15="La cursada aprobada",COUNTIFS($F$2:$F$51,M5,$Q$2:$Q$51,"Cursada aprobada")&gt;0))),M5&amp;" ","")&amp;IF(NOT(OR(N5="",COUNTIF($F$2:$F$51,N5)=0,COUNTIFS($F$2:$F$51,N5,$Q$2:$Q$51,"Aprobada")&gt;0,AND(Resumen!$B$15="La cursada aprobada",COUNTIFS($F$2:$F$51,N5,$Q$2:$Q$51,"Cursada aprobada")&gt;0))),N5&amp;" ","")&amp;IF(NOT(OR(O5="",COUNTIF($F$2:$F$51,O5)=0,COUNTIFS($F$2:$F$51,O5,$Q$2:$Q$51,"Aprobada")&gt;0,AND(Resumen!$B$15="La cursada aprobada",COUNTIFS($F$2:$F$51,O5,$Q$2:$Q$51,"Cursada aprobada")&gt;0))),O5&amp;" ","")&amp;IF(NOT(OR(P5="",COUNTIF($F$2:$F$51,P5)=0,COUNTIFS($F$2:$F$51,P5,$Q$2:$Q$51,"Aprobada")&gt;0,AND(Resumen!$B$15="La cursada aprobada",COUNTIFS($F$2:$F$51,P5,$Q$2:$Q$51,"Cursada aprobada")&gt;0))),P5&amp;" ",""))</f>
        <v/>
      </c>
      <c r="T5" s="9" t="str">
        <f aca="false">IF(Q5="Cursada aprobada",IF(AND(OR(L5="",COUNTIF($F$2:$F$51,L5)=0,COUNTIFS($F$2:$F$51,L5,$Q$2:$Q$51,"Aprobada")&gt;0),OR(M5="",COUNTIF($F$2:$F$51,M5)=0,COUNTIFS($F$2:$F$51,M5,$Q$2:$Q$51,"Aprobada")&gt;0),OR(N5="",COUNTIF($F$2:$F$51,N5)=0,COUNTIFS($F$2:$F$51,N5,$Q$2:$Q$51,"Aprobada")&gt;0),OR(O5="",COUNTIF($F$2:$F$51,O5)=0,COUNTIFS($F$2:$F$51,O5,$Q$2:$Q$51,"Aprobada")&gt;0),OR(P5="",COUNTIF($F$2:$F$51,P5)=0,COUNTIFS($F$2:$F$51,P5,$Q$2:$Q$51,"Aprobada")&gt;0)),"Sí","No"),"")</f>
        <v/>
      </c>
      <c r="U5" s="9" t="str">
        <f aca="false">IF(Q5="Aprobada",TRIM(IF(NOT(OR(L5="",COUNTIF($F$2:$F$51,L5)=0,COUNTIFS($F$2:$F$51,L5,$Q$2:$Q$51,"Aprobada")&gt;0)),L5&amp;" ","")&amp;IF(NOT(OR(M5="",COUNTIF($F$2:$F$51,M5)=0,COUNTIFS($F$2:$F$51,M5,$Q$2:$Q$51,"Aprobada")&gt;0)),M5&amp;" ","")&amp;IF(NOT(OR(N5="",COUNTIF($F$2:$F$51,N5)=0,COUNTIFS($F$2:$F$51,N5,$Q$2:$Q$51,"Aprobada")&gt;0)),N5&amp;" ","")&amp;IF(NOT(OR(O5="",COUNTIF($F$2:$F$51,O5)=0,COUNTIFS($F$2:$F$51,O5,$Q$2:$Q$51,"Aprobada")&gt;0)),O5&amp;" ","")&amp;IF(NOT(OR(P5="",COUNTIF($F$2:$F$51,P5)=0,COUNTIFS($F$2:$F$51,P5,$Q$2:$Q$51,"Aprobada")&gt;0)),P5&amp;" ","")),IF(Q5="Cursada aprobada",TRIM(IF(NOT(OR(L5="",COUNTIF($F$2:$F$51,L5)=0,COUNTIFS($F$2:$F$51,L5,$Q$2:$Q$51,"Aprobada")&gt;0,AND(Resumen!$B$15="La cursada aprobada",COUNTIFS($F$2:$F$51,L5,$Q$2:$Q$51,"Cursada aprobada")&gt;0))),L5&amp;" ","")&amp;IF(NOT(OR(M5="",COUNTIF($F$2:$F$51,M5)=0,COUNTIFS($F$2:$F$51,M5,$Q$2:$Q$51,"Aprobada")&gt;0,AND(Resumen!$B$15="La cursada aprobada",COUNTIFS($F$2:$F$51,M5,$Q$2:$Q$51,"Cursada aprobada")&gt;0))),M5&amp;" ","")&amp;IF(NOT(OR(N5="",COUNTIF($F$2:$F$51,N5)=0,COUNTIFS($F$2:$F$51,N5,$Q$2:$Q$51,"Aprobada")&gt;0,AND(Resumen!$B$15="La cursada aprobada",COUNTIFS($F$2:$F$51,N5,$Q$2:$Q$51,"Cursada aprobada")&gt;0))),N5&amp;" ","")&amp;IF(NOT(OR(O5="",COUNTIF($F$2:$F$51,O5)=0,COUNTIFS($F$2:$F$51,O5,$Q$2:$Q$51,"Aprobada")&gt;0,AND(Resumen!$B$15="La cursada aprobada",COUNTIFS($F$2:$F$51,O5,$Q$2:$Q$51,"Cursada aprobada")&gt;0))),O5&amp;" ","")&amp;IF(NOT(OR(P5="",COUNTIF($F$2:$F$51,P5)=0,COUNTIFS($F$2:$F$51,P5,$Q$2:$Q$51,"Aprobada")&gt;0,AND(Resumen!$B$15="La cursada aprobada",COUNTIFS($F$2:$F$51,P5,$Q$2:$Q$51,"Cursada aprobada")&gt;0))),P5&amp;" ","")),""))</f>
        <v/>
      </c>
    </row>
    <row r="6" customFormat="false" ht="15" hidden="false" customHeight="false" outlineLevel="0" collapsed="false">
      <c r="A6" s="8" t="s">
        <v>58</v>
      </c>
      <c r="B6" s="8"/>
      <c r="C6" s="9" t="n">
        <v>1</v>
      </c>
      <c r="D6" s="9" t="n">
        <v>2</v>
      </c>
      <c r="E6" s="9" t="s">
        <v>69</v>
      </c>
      <c r="F6" s="9" t="n">
        <v>180</v>
      </c>
      <c r="G6" s="8" t="s">
        <v>70</v>
      </c>
      <c r="H6" s="9" t="s">
        <v>71</v>
      </c>
      <c r="I6" s="9" t="n">
        <v>4</v>
      </c>
      <c r="J6" s="9"/>
      <c r="K6" s="9" t="n">
        <v>64</v>
      </c>
      <c r="L6" s="9"/>
      <c r="M6" s="9"/>
      <c r="N6" s="9"/>
      <c r="O6" s="9"/>
      <c r="P6" s="9"/>
      <c r="Q6" s="10" t="s">
        <v>62</v>
      </c>
      <c r="R6" s="9" t="str">
        <f aca="false">IF(Q6="Aprobada","Ya aprobada",IF(Q6="Cursada aprobada","Ya cursada",IF(AND(OR(L6="",COUNTIF($F$2:$F$51,L6)=0,COUNTIFS($F$2:$F$51,L6,$Q$2:$Q$51,"Aprobada")&gt;0,AND(Resumen!$B$15="La cursada aprobada",COUNTIFS($F$2:$F$51,L6,$Q$2:$Q$51,"Cursada aprobada")&gt;0)),OR(M6="",COUNTIF($F$2:$F$51,M6)=0,COUNTIFS($F$2:$F$51,M6,$Q$2:$Q$51,"Aprobada")&gt;0,AND(Resumen!$B$15="La cursada aprobada",COUNTIFS($F$2:$F$51,M6,$Q$2:$Q$51,"Cursada aprobada")&gt;0)),OR(N6="",COUNTIF($F$2:$F$51,N6)=0,COUNTIFS($F$2:$F$51,N6,$Q$2:$Q$51,"Aprobada")&gt;0,AND(Resumen!$B$15="La cursada aprobada",COUNTIFS($F$2:$F$51,N6,$Q$2:$Q$51,"Cursada aprobada")&gt;0)),OR(O6="",COUNTIF($F$2:$F$51,O6)=0,COUNTIFS($F$2:$F$51,O6,$Q$2:$Q$51,"Aprobada")&gt;0,AND(Resumen!$B$15="La cursada aprobada",COUNTIFS($F$2:$F$51,O6,$Q$2:$Q$51,"Cursada aprobada")&gt;0)),OR(P6="",COUNTIF($F$2:$F$51,P6)=0,COUNTIFS($F$2:$F$51,P6,$Q$2:$Q$51,"Aprobada")&gt;0,AND(Resumen!$B$15="La cursada aprobada",COUNTIFS($F$2:$F$51,P6,$Q$2:$Q$51,"Cursada aprobada")&gt;0))),"Sí","No")))</f>
        <v>Sí</v>
      </c>
      <c r="S6" s="8" t="str">
        <f aca="false">TRIM(IF(NOT(OR(L6="",COUNTIF($F$2:$F$51,L6)=0,COUNTIFS($F$2:$F$51,L6,$Q$2:$Q$51,"Aprobada")&gt;0,AND(Resumen!$B$15="La cursada aprobada",COUNTIFS($F$2:$F$51,L6,$Q$2:$Q$51,"Cursada aprobada")&gt;0))),L6&amp;" ","")&amp;IF(NOT(OR(M6="",COUNTIF($F$2:$F$51,M6)=0,COUNTIFS($F$2:$F$51,M6,$Q$2:$Q$51,"Aprobada")&gt;0,AND(Resumen!$B$15="La cursada aprobada",COUNTIFS($F$2:$F$51,M6,$Q$2:$Q$51,"Cursada aprobada")&gt;0))),M6&amp;" ","")&amp;IF(NOT(OR(N6="",COUNTIF($F$2:$F$51,N6)=0,COUNTIFS($F$2:$F$51,N6,$Q$2:$Q$51,"Aprobada")&gt;0,AND(Resumen!$B$15="La cursada aprobada",COUNTIFS($F$2:$F$51,N6,$Q$2:$Q$51,"Cursada aprobada")&gt;0))),N6&amp;" ","")&amp;IF(NOT(OR(O6="",COUNTIF($F$2:$F$51,O6)=0,COUNTIFS($F$2:$F$51,O6,$Q$2:$Q$51,"Aprobada")&gt;0,AND(Resumen!$B$15="La cursada aprobada",COUNTIFS($F$2:$F$51,O6,$Q$2:$Q$51,"Cursada aprobada")&gt;0))),O6&amp;" ","")&amp;IF(NOT(OR(P6="",COUNTIF($F$2:$F$51,P6)=0,COUNTIFS($F$2:$F$51,P6,$Q$2:$Q$51,"Aprobada")&gt;0,AND(Resumen!$B$15="La cursada aprobada",COUNTIFS($F$2:$F$51,P6,$Q$2:$Q$51,"Cursada aprobada")&gt;0))),P6&amp;" ",""))</f>
        <v/>
      </c>
      <c r="T6" s="9" t="str">
        <f aca="false">IF(Q6="Cursada aprobada",IF(AND(OR(L6="",COUNTIF($F$2:$F$51,L6)=0,COUNTIFS($F$2:$F$51,L6,$Q$2:$Q$51,"Aprobada")&gt;0),OR(M6="",COUNTIF($F$2:$F$51,M6)=0,COUNTIFS($F$2:$F$51,M6,$Q$2:$Q$51,"Aprobada")&gt;0),OR(N6="",COUNTIF($F$2:$F$51,N6)=0,COUNTIFS($F$2:$F$51,N6,$Q$2:$Q$51,"Aprobada")&gt;0),OR(O6="",COUNTIF($F$2:$F$51,O6)=0,COUNTIFS($F$2:$F$51,O6,$Q$2:$Q$51,"Aprobada")&gt;0),OR(P6="",COUNTIF($F$2:$F$51,P6)=0,COUNTIFS($F$2:$F$51,P6,$Q$2:$Q$51,"Aprobada")&gt;0)),"Sí","No"),"")</f>
        <v/>
      </c>
      <c r="U6" s="9" t="str">
        <f aca="false">IF(Q6="Aprobada",TRIM(IF(NOT(OR(L6="",COUNTIF($F$2:$F$51,L6)=0,COUNTIFS($F$2:$F$51,L6,$Q$2:$Q$51,"Aprobada")&gt;0)),L6&amp;" ","")&amp;IF(NOT(OR(M6="",COUNTIF($F$2:$F$51,M6)=0,COUNTIFS($F$2:$F$51,M6,$Q$2:$Q$51,"Aprobada")&gt;0)),M6&amp;" ","")&amp;IF(NOT(OR(N6="",COUNTIF($F$2:$F$51,N6)=0,COUNTIFS($F$2:$F$51,N6,$Q$2:$Q$51,"Aprobada")&gt;0)),N6&amp;" ","")&amp;IF(NOT(OR(O6="",COUNTIF($F$2:$F$51,O6)=0,COUNTIFS($F$2:$F$51,O6,$Q$2:$Q$51,"Aprobada")&gt;0)),O6&amp;" ","")&amp;IF(NOT(OR(P6="",COUNTIF($F$2:$F$51,P6)=0,COUNTIFS($F$2:$F$51,P6,$Q$2:$Q$51,"Aprobada")&gt;0)),P6&amp;" ","")),IF(Q6="Cursada aprobada",TRIM(IF(NOT(OR(L6="",COUNTIF($F$2:$F$51,L6)=0,COUNTIFS($F$2:$F$51,L6,$Q$2:$Q$51,"Aprobada")&gt;0,AND(Resumen!$B$15="La cursada aprobada",COUNTIFS($F$2:$F$51,L6,$Q$2:$Q$51,"Cursada aprobada")&gt;0))),L6&amp;" ","")&amp;IF(NOT(OR(M6="",COUNTIF($F$2:$F$51,M6)=0,COUNTIFS($F$2:$F$51,M6,$Q$2:$Q$51,"Aprobada")&gt;0,AND(Resumen!$B$15="La cursada aprobada",COUNTIFS($F$2:$F$51,M6,$Q$2:$Q$51,"Cursada aprobada")&gt;0))),M6&amp;" ","")&amp;IF(NOT(OR(N6="",COUNTIF($F$2:$F$51,N6)=0,COUNTIFS($F$2:$F$51,N6,$Q$2:$Q$51,"Aprobada")&gt;0,AND(Resumen!$B$15="La cursada aprobada",COUNTIFS($F$2:$F$51,N6,$Q$2:$Q$51,"Cursada aprobada")&gt;0))),N6&amp;" ","")&amp;IF(NOT(OR(O6="",COUNTIF($F$2:$F$51,O6)=0,COUNTIFS($F$2:$F$51,O6,$Q$2:$Q$51,"Aprobada")&gt;0,AND(Resumen!$B$15="La cursada aprobada",COUNTIFS($F$2:$F$51,O6,$Q$2:$Q$51,"Cursada aprobada")&gt;0))),O6&amp;" ","")&amp;IF(NOT(OR(P6="",COUNTIF($F$2:$F$51,P6)=0,COUNTIFS($F$2:$F$51,P6,$Q$2:$Q$51,"Aprobada")&gt;0,AND(Resumen!$B$15="La cursada aprobada",COUNTIFS($F$2:$F$51,P6,$Q$2:$Q$51,"Cursada aprobada")&gt;0))),P6&amp;" ","")),""))</f>
        <v/>
      </c>
    </row>
    <row r="7" customFormat="false" ht="15" hidden="false" customHeight="false" outlineLevel="0" collapsed="false">
      <c r="A7" s="8" t="s">
        <v>58</v>
      </c>
      <c r="B7" s="8"/>
      <c r="C7" s="9" t="n">
        <v>1</v>
      </c>
      <c r="D7" s="9" t="n">
        <v>2</v>
      </c>
      <c r="E7" s="9" t="s">
        <v>65</v>
      </c>
      <c r="F7" s="9" t="n">
        <v>108</v>
      </c>
      <c r="G7" s="8" t="s">
        <v>149</v>
      </c>
      <c r="H7" s="9" t="s">
        <v>61</v>
      </c>
      <c r="I7" s="9" t="n">
        <v>6</v>
      </c>
      <c r="J7" s="9"/>
      <c r="K7" s="9" t="n">
        <v>96</v>
      </c>
      <c r="L7" s="9" t="n">
        <v>102</v>
      </c>
      <c r="M7" s="9"/>
      <c r="N7" s="9"/>
      <c r="O7" s="9"/>
      <c r="P7" s="9"/>
      <c r="Q7" s="10" t="s">
        <v>62</v>
      </c>
      <c r="R7" s="9" t="str">
        <f aca="false">IF(Q7="Aprobada","Ya aprobada",IF(Q7="Cursada aprobada","Ya cursada",IF(AND(OR(L7="",COUNTIF($F$2:$F$51,L7)=0,COUNTIFS($F$2:$F$51,L7,$Q$2:$Q$51,"Aprobada")&gt;0,AND(Resumen!$B$15="La cursada aprobada",COUNTIFS($F$2:$F$51,L7,$Q$2:$Q$51,"Cursada aprobada")&gt;0)),OR(M7="",COUNTIF($F$2:$F$51,M7)=0,COUNTIFS($F$2:$F$51,M7,$Q$2:$Q$51,"Aprobada")&gt;0,AND(Resumen!$B$15="La cursada aprobada",COUNTIFS($F$2:$F$51,M7,$Q$2:$Q$51,"Cursada aprobada")&gt;0)),OR(N7="",COUNTIF($F$2:$F$51,N7)=0,COUNTIFS($F$2:$F$51,N7,$Q$2:$Q$51,"Aprobada")&gt;0,AND(Resumen!$B$15="La cursada aprobada",COUNTIFS($F$2:$F$51,N7,$Q$2:$Q$51,"Cursada aprobada")&gt;0)),OR(O7="",COUNTIF($F$2:$F$51,O7)=0,COUNTIFS($F$2:$F$51,O7,$Q$2:$Q$51,"Aprobada")&gt;0,AND(Resumen!$B$15="La cursada aprobada",COUNTIFS($F$2:$F$51,O7,$Q$2:$Q$51,"Cursada aprobada")&gt;0)),OR(P7="",COUNTIF($F$2:$F$51,P7)=0,COUNTIFS($F$2:$F$51,P7,$Q$2:$Q$51,"Aprobada")&gt;0,AND(Resumen!$B$15="La cursada aprobada",COUNTIFS($F$2:$F$51,P7,$Q$2:$Q$51,"Cursada aprobada")&gt;0))),"Sí","No")))</f>
        <v>No</v>
      </c>
      <c r="S7" s="8" t="str">
        <f aca="false">TRIM(IF(NOT(OR(L7="",COUNTIF($F$2:$F$51,L7)=0,COUNTIFS($F$2:$F$51,L7,$Q$2:$Q$51,"Aprobada")&gt;0,AND(Resumen!$B$15="La cursada aprobada",COUNTIFS($F$2:$F$51,L7,$Q$2:$Q$51,"Cursada aprobada")&gt;0))),L7&amp;" ","")&amp;IF(NOT(OR(M7="",COUNTIF($F$2:$F$51,M7)=0,COUNTIFS($F$2:$F$51,M7,$Q$2:$Q$51,"Aprobada")&gt;0,AND(Resumen!$B$15="La cursada aprobada",COUNTIFS($F$2:$F$51,M7,$Q$2:$Q$51,"Cursada aprobada")&gt;0))),M7&amp;" ","")&amp;IF(NOT(OR(N7="",COUNTIF($F$2:$F$51,N7)=0,COUNTIFS($F$2:$F$51,N7,$Q$2:$Q$51,"Aprobada")&gt;0,AND(Resumen!$B$15="La cursada aprobada",COUNTIFS($F$2:$F$51,N7,$Q$2:$Q$51,"Cursada aprobada")&gt;0))),N7&amp;" ","")&amp;IF(NOT(OR(O7="",COUNTIF($F$2:$F$51,O7)=0,COUNTIFS($F$2:$F$51,O7,$Q$2:$Q$51,"Aprobada")&gt;0,AND(Resumen!$B$15="La cursada aprobada",COUNTIFS($F$2:$F$51,O7,$Q$2:$Q$51,"Cursada aprobada")&gt;0))),O7&amp;" ","")&amp;IF(NOT(OR(P7="",COUNTIF($F$2:$F$51,P7)=0,COUNTIFS($F$2:$F$51,P7,$Q$2:$Q$51,"Aprobada")&gt;0,AND(Resumen!$B$15="La cursada aprobada",COUNTIFS($F$2:$F$51,P7,$Q$2:$Q$51,"Cursada aprobada")&gt;0))),P7&amp;" ",""))</f>
        <v>102</v>
      </c>
      <c r="T7" s="9" t="str">
        <f aca="false">IF(Q7="Cursada aprobada",IF(AND(OR(L7="",COUNTIF($F$2:$F$51,L7)=0,COUNTIFS($F$2:$F$51,L7,$Q$2:$Q$51,"Aprobada")&gt;0),OR(M7="",COUNTIF($F$2:$F$51,M7)=0,COUNTIFS($F$2:$F$51,M7,$Q$2:$Q$51,"Aprobada")&gt;0),OR(N7="",COUNTIF($F$2:$F$51,N7)=0,COUNTIFS($F$2:$F$51,N7,$Q$2:$Q$51,"Aprobada")&gt;0),OR(O7="",COUNTIF($F$2:$F$51,O7)=0,COUNTIFS($F$2:$F$51,O7,$Q$2:$Q$51,"Aprobada")&gt;0),OR(P7="",COUNTIF($F$2:$F$51,P7)=0,COUNTIFS($F$2:$F$51,P7,$Q$2:$Q$51,"Aprobada")&gt;0)),"Sí","No"),"")</f>
        <v/>
      </c>
      <c r="U7" s="9" t="str">
        <f aca="false">IF(Q7="Aprobada",TRIM(IF(NOT(OR(L7="",COUNTIF($F$2:$F$51,L7)=0,COUNTIFS($F$2:$F$51,L7,$Q$2:$Q$51,"Aprobada")&gt;0)),L7&amp;" ","")&amp;IF(NOT(OR(M7="",COUNTIF($F$2:$F$51,M7)=0,COUNTIFS($F$2:$F$51,M7,$Q$2:$Q$51,"Aprobada")&gt;0)),M7&amp;" ","")&amp;IF(NOT(OR(N7="",COUNTIF($F$2:$F$51,N7)=0,COUNTIFS($F$2:$F$51,N7,$Q$2:$Q$51,"Aprobada")&gt;0)),N7&amp;" ","")&amp;IF(NOT(OR(O7="",COUNTIF($F$2:$F$51,O7)=0,COUNTIFS($F$2:$F$51,O7,$Q$2:$Q$51,"Aprobada")&gt;0)),O7&amp;" ","")&amp;IF(NOT(OR(P7="",COUNTIF($F$2:$F$51,P7)=0,COUNTIFS($F$2:$F$51,P7,$Q$2:$Q$51,"Aprobada")&gt;0)),P7&amp;" ","")),IF(Q7="Cursada aprobada",TRIM(IF(NOT(OR(L7="",COUNTIF($F$2:$F$51,L7)=0,COUNTIFS($F$2:$F$51,L7,$Q$2:$Q$51,"Aprobada")&gt;0,AND(Resumen!$B$15="La cursada aprobada",COUNTIFS($F$2:$F$51,L7,$Q$2:$Q$51,"Cursada aprobada")&gt;0))),L7&amp;" ","")&amp;IF(NOT(OR(M7="",COUNTIF($F$2:$F$51,M7)=0,COUNTIFS($F$2:$F$51,M7,$Q$2:$Q$51,"Aprobada")&gt;0,AND(Resumen!$B$15="La cursada aprobada",COUNTIFS($F$2:$F$51,M7,$Q$2:$Q$51,"Cursada aprobada")&gt;0))),M7&amp;" ","")&amp;IF(NOT(OR(N7="",COUNTIF($F$2:$F$51,N7)=0,COUNTIFS($F$2:$F$51,N7,$Q$2:$Q$51,"Aprobada")&gt;0,AND(Resumen!$B$15="La cursada aprobada",COUNTIFS($F$2:$F$51,N7,$Q$2:$Q$51,"Cursada aprobada")&gt;0))),N7&amp;" ","")&amp;IF(NOT(OR(O7="",COUNTIF($F$2:$F$51,O7)=0,COUNTIFS($F$2:$F$51,O7,$Q$2:$Q$51,"Aprobada")&gt;0,AND(Resumen!$B$15="La cursada aprobada",COUNTIFS($F$2:$F$51,O7,$Q$2:$Q$51,"Cursada aprobada")&gt;0))),O7&amp;" ","")&amp;IF(NOT(OR(P7="",COUNTIF($F$2:$F$51,P7)=0,COUNTIFS($F$2:$F$51,P7,$Q$2:$Q$51,"Aprobada")&gt;0,AND(Resumen!$B$15="La cursada aprobada",COUNTIFS($F$2:$F$51,P7,$Q$2:$Q$51,"Cursada aprobada")&gt;0))),P7&amp;" ","")),""))</f>
        <v/>
      </c>
    </row>
    <row r="8" customFormat="false" ht="15" hidden="false" customHeight="false" outlineLevel="0" collapsed="false">
      <c r="A8" s="8" t="s">
        <v>58</v>
      </c>
      <c r="B8" s="8"/>
      <c r="C8" s="9" t="n">
        <v>1</v>
      </c>
      <c r="D8" s="9" t="n">
        <v>2</v>
      </c>
      <c r="E8" s="9" t="s">
        <v>99</v>
      </c>
      <c r="F8" s="9" t="n">
        <v>1001</v>
      </c>
      <c r="G8" s="8" t="s">
        <v>205</v>
      </c>
      <c r="H8" s="9"/>
      <c r="I8" s="9" t="n">
        <v>6</v>
      </c>
      <c r="J8" s="9"/>
      <c r="K8" s="9" t="n">
        <v>96</v>
      </c>
      <c r="L8" s="9"/>
      <c r="M8" s="9"/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cursada",IF(AND(OR(L8="",COUNTIF($F$2:$F$51,L8)=0,COUNTIFS($F$2:$F$51,L8,$Q$2:$Q$51,"Aprobada")&gt;0,AND(Resumen!$B$15="La cursada aprobada",COUNTIFS($F$2:$F$51,L8,$Q$2:$Q$51,"Cursada aprobada")&gt;0)),OR(M8="",COUNTIF($F$2:$F$51,M8)=0,COUNTIFS($F$2:$F$51,M8,$Q$2:$Q$51,"Aprobada")&gt;0,AND(Resumen!$B$15="La cursada aprobada",COUNTIFS($F$2:$F$51,M8,$Q$2:$Q$51,"Cursada aprobada")&gt;0)),OR(N8="",COUNTIF($F$2:$F$51,N8)=0,COUNTIFS($F$2:$F$51,N8,$Q$2:$Q$51,"Aprobada")&gt;0,AND(Resumen!$B$15="La cursada aprobada",COUNTIFS($F$2:$F$51,N8,$Q$2:$Q$51,"Cursada aprobada")&gt;0)),OR(O8="",COUNTIF($F$2:$F$51,O8)=0,COUNTIFS($F$2:$F$51,O8,$Q$2:$Q$51,"Aprobada")&gt;0,AND(Resumen!$B$15="La cursada aprobada",COUNTIFS($F$2:$F$51,O8,$Q$2:$Q$51,"Cursada aprobada")&gt;0)),OR(P8="",COUNTIF($F$2:$F$51,P8)=0,COUNTIFS($F$2:$F$51,P8,$Q$2:$Q$51,"Aprobada")&gt;0,AND(Resumen!$B$15="La cursada aprobada",COUNTIFS($F$2:$F$51,P8,$Q$2:$Q$51,"Cursada aprobada")&gt;0))),"Sí","No")))</f>
        <v>Sí</v>
      </c>
      <c r="S8" s="8" t="str">
        <f aca="false">TRIM(IF(NOT(OR(L8="",COUNTIF($F$2:$F$51,L8)=0,COUNTIFS($F$2:$F$51,L8,$Q$2:$Q$51,"Aprobada")&gt;0,AND(Resumen!$B$15="La cursada aprobada",COUNTIFS($F$2:$F$51,L8,$Q$2:$Q$51,"Cursada aprobada")&gt;0))),L8&amp;" ","")&amp;IF(NOT(OR(M8="",COUNTIF($F$2:$F$51,M8)=0,COUNTIFS($F$2:$F$51,M8,$Q$2:$Q$51,"Aprobada")&gt;0,AND(Resumen!$B$15="La cursada aprobada",COUNTIFS($F$2:$F$51,M8,$Q$2:$Q$51,"Cursada aprobada")&gt;0))),M8&amp;" ","")&amp;IF(NOT(OR(N8="",COUNTIF($F$2:$F$51,N8)=0,COUNTIFS($F$2:$F$51,N8,$Q$2:$Q$51,"Aprobada")&gt;0,AND(Resumen!$B$15="La cursada aprobada",COUNTIFS($F$2:$F$51,N8,$Q$2:$Q$51,"Cursada aprobada")&gt;0))),N8&amp;" ","")&amp;IF(NOT(OR(O8="",COUNTIF($F$2:$F$51,O8)=0,COUNTIFS($F$2:$F$51,O8,$Q$2:$Q$51,"Aprobada")&gt;0,AND(Resumen!$B$15="La cursada aprobada",COUNTIFS($F$2:$F$51,O8,$Q$2:$Q$51,"Cursada aprobada")&gt;0))),O8&amp;" ","")&amp;IF(NOT(OR(P8="",COUNTIF($F$2:$F$51,P8)=0,COUNTIFS($F$2:$F$51,P8,$Q$2:$Q$51,"Aprobada")&gt;0,AND(Resumen!$B$15="La cursada aprobada",COUNTIFS($F$2:$F$51,P8,$Q$2:$Q$51,"Cursada aprobada")&gt;0))),P8&amp;" ",""))</f>
        <v/>
      </c>
      <c r="T8" s="9" t="str">
        <f aca="false">IF(Q8="Cursada aprobada",IF(AND(OR(L8="",COUNTIF($F$2:$F$51,L8)=0,COUNTIFS($F$2:$F$51,L8,$Q$2:$Q$51,"Aprobada")&gt;0),OR(M8="",COUNTIF($F$2:$F$51,M8)=0,COUNTIFS($F$2:$F$51,M8,$Q$2:$Q$51,"Aprobada")&gt;0),OR(N8="",COUNTIF($F$2:$F$51,N8)=0,COUNTIFS($F$2:$F$51,N8,$Q$2:$Q$51,"Aprobada")&gt;0),OR(O8="",COUNTIF($F$2:$F$51,O8)=0,COUNTIFS($F$2:$F$51,O8,$Q$2:$Q$51,"Aprobada")&gt;0),OR(P8="",COUNTIF($F$2:$F$51,P8)=0,COUNTIFS($F$2:$F$51,P8,$Q$2:$Q$51,"Aprobada")&gt;0)),"Sí","No"),"")</f>
        <v/>
      </c>
      <c r="U8" s="9" t="str">
        <f aca="false">IF(Q8="Aprobada",TRIM(IF(NOT(OR(L8="",COUNTIF($F$2:$F$51,L8)=0,COUNTIFS($F$2:$F$51,L8,$Q$2:$Q$51,"Aprobada")&gt;0)),L8&amp;" ","")&amp;IF(NOT(OR(M8="",COUNTIF($F$2:$F$51,M8)=0,COUNTIFS($F$2:$F$51,M8,$Q$2:$Q$51,"Aprobada")&gt;0)),M8&amp;" ","")&amp;IF(NOT(OR(N8="",COUNTIF($F$2:$F$51,N8)=0,COUNTIFS($F$2:$F$51,N8,$Q$2:$Q$51,"Aprobada")&gt;0)),N8&amp;" ","")&amp;IF(NOT(OR(O8="",COUNTIF($F$2:$F$51,O8)=0,COUNTIFS($F$2:$F$51,O8,$Q$2:$Q$51,"Aprobada")&gt;0)),O8&amp;" ","")&amp;IF(NOT(OR(P8="",COUNTIF($F$2:$F$51,P8)=0,COUNTIFS($F$2:$F$51,P8,$Q$2:$Q$51,"Aprobada")&gt;0)),P8&amp;" ","")),IF(Q8="Cursada aprobada",TRIM(IF(NOT(OR(L8="",COUNTIF($F$2:$F$51,L8)=0,COUNTIFS($F$2:$F$51,L8,$Q$2:$Q$51,"Aprobada")&gt;0,AND(Resumen!$B$15="La cursada aprobada",COUNTIFS($F$2:$F$51,L8,$Q$2:$Q$51,"Cursada aprobada")&gt;0))),L8&amp;" ","")&amp;IF(NOT(OR(M8="",COUNTIF($F$2:$F$51,M8)=0,COUNTIFS($F$2:$F$51,M8,$Q$2:$Q$51,"Aprobada")&gt;0,AND(Resumen!$B$15="La cursada aprobada",COUNTIFS($F$2:$F$51,M8,$Q$2:$Q$51,"Cursada aprobada")&gt;0))),M8&amp;" ","")&amp;IF(NOT(OR(N8="",COUNTIF($F$2:$F$51,N8)=0,COUNTIFS($F$2:$F$51,N8,$Q$2:$Q$51,"Aprobada")&gt;0,AND(Resumen!$B$15="La cursada aprobada",COUNTIFS($F$2:$F$51,N8,$Q$2:$Q$51,"Cursada aprobada")&gt;0))),N8&amp;" ","")&amp;IF(NOT(OR(O8="",COUNTIF($F$2:$F$51,O8)=0,COUNTIFS($F$2:$F$51,O8,$Q$2:$Q$51,"Aprobada")&gt;0,AND(Resumen!$B$15="La cursada aprobada",COUNTIFS($F$2:$F$51,O8,$Q$2:$Q$51,"Cursada aprobada")&gt;0))),O8&amp;" ","")&amp;IF(NOT(OR(P8="",COUNTIF($F$2:$F$51,P8)=0,COUNTIFS($F$2:$F$51,P8,$Q$2:$Q$51,"Aprobada")&gt;0,AND(Resumen!$B$15="La cursada aprobada",COUNTIFS($F$2:$F$51,P8,$Q$2:$Q$51,"Cursada aprobada")&gt;0))),P8&amp;" ","")),""))</f>
        <v/>
      </c>
    </row>
    <row r="9" customFormat="false" ht="15" hidden="false" customHeight="false" outlineLevel="0" collapsed="false">
      <c r="A9" s="8" t="s">
        <v>58</v>
      </c>
      <c r="B9" s="8"/>
      <c r="C9" s="9" t="n">
        <v>2</v>
      </c>
      <c r="D9" s="9" t="n">
        <v>1</v>
      </c>
      <c r="E9" s="9" t="s">
        <v>59</v>
      </c>
      <c r="F9" s="9" t="n">
        <v>314</v>
      </c>
      <c r="G9" s="8" t="s">
        <v>74</v>
      </c>
      <c r="H9" s="9" t="s">
        <v>61</v>
      </c>
      <c r="I9" s="9" t="n">
        <v>6</v>
      </c>
      <c r="J9" s="9"/>
      <c r="K9" s="9" t="n">
        <v>96</v>
      </c>
      <c r="L9" s="9" t="n">
        <v>101</v>
      </c>
      <c r="M9" s="9" t="n">
        <v>108</v>
      </c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cursada",IF(AND(OR(L9="",COUNTIF($F$2:$F$51,L9)=0,COUNTIFS($F$2:$F$51,L9,$Q$2:$Q$51,"Aprobada")&gt;0,AND(Resumen!$B$15="La cursada aprobada",COUNTIFS($F$2:$F$51,L9,$Q$2:$Q$51,"Cursada aprobada")&gt;0)),OR(M9="",COUNTIF($F$2:$F$51,M9)=0,COUNTIFS($F$2:$F$51,M9,$Q$2:$Q$51,"Aprobada")&gt;0,AND(Resumen!$B$15="La cursada aprobada",COUNTIFS($F$2:$F$51,M9,$Q$2:$Q$51,"Cursada aprobada")&gt;0)),OR(N9="",COUNTIF($F$2:$F$51,N9)=0,COUNTIFS($F$2:$F$51,N9,$Q$2:$Q$51,"Aprobada")&gt;0,AND(Resumen!$B$15="La cursada aprobada",COUNTIFS($F$2:$F$51,N9,$Q$2:$Q$51,"Cursada aprobada")&gt;0)),OR(O9="",COUNTIF($F$2:$F$51,O9)=0,COUNTIFS($F$2:$F$51,O9,$Q$2:$Q$51,"Aprobada")&gt;0,AND(Resumen!$B$15="La cursada aprobada",COUNTIFS($F$2:$F$51,O9,$Q$2:$Q$51,"Cursada aprobada")&gt;0)),OR(P9="",COUNTIF($F$2:$F$51,P9)=0,COUNTIFS($F$2:$F$51,P9,$Q$2:$Q$51,"Aprobada")&gt;0,AND(Resumen!$B$15="La cursada aprobada",COUNTIFS($F$2:$F$51,P9,$Q$2:$Q$51,"Cursada aprobada")&gt;0))),"Sí","No")))</f>
        <v>No</v>
      </c>
      <c r="S9" s="8" t="str">
        <f aca="false">TRIM(IF(NOT(OR(L9="",COUNTIF($F$2:$F$51,L9)=0,COUNTIFS($F$2:$F$51,L9,$Q$2:$Q$51,"Aprobada")&gt;0,AND(Resumen!$B$15="La cursada aprobada",COUNTIFS($F$2:$F$51,L9,$Q$2:$Q$51,"Cursada aprobada")&gt;0))),L9&amp;" ","")&amp;IF(NOT(OR(M9="",COUNTIF($F$2:$F$51,M9)=0,COUNTIFS($F$2:$F$51,M9,$Q$2:$Q$51,"Aprobada")&gt;0,AND(Resumen!$B$15="La cursada aprobada",COUNTIFS($F$2:$F$51,M9,$Q$2:$Q$51,"Cursada aprobada")&gt;0))),M9&amp;" ","")&amp;IF(NOT(OR(N9="",COUNTIF($F$2:$F$51,N9)=0,COUNTIFS($F$2:$F$51,N9,$Q$2:$Q$51,"Aprobada")&gt;0,AND(Resumen!$B$15="La cursada aprobada",COUNTIFS($F$2:$F$51,N9,$Q$2:$Q$51,"Cursada aprobada")&gt;0))),N9&amp;" ","")&amp;IF(NOT(OR(O9="",COUNTIF($F$2:$F$51,O9)=0,COUNTIFS($F$2:$F$51,O9,$Q$2:$Q$51,"Aprobada")&gt;0,AND(Resumen!$B$15="La cursada aprobada",COUNTIFS($F$2:$F$51,O9,$Q$2:$Q$51,"Cursada aprobada")&gt;0))),O9&amp;" ","")&amp;IF(NOT(OR(P9="",COUNTIF($F$2:$F$51,P9)=0,COUNTIFS($F$2:$F$51,P9,$Q$2:$Q$51,"Aprobada")&gt;0,AND(Resumen!$B$15="La cursada aprobada",COUNTIFS($F$2:$F$51,P9,$Q$2:$Q$51,"Cursada aprobada")&gt;0))),P9&amp;" ",""))</f>
        <v>101 108</v>
      </c>
      <c r="T9" s="9" t="str">
        <f aca="false">IF(Q9="Cursada aprobada",IF(AND(OR(L9="",COUNTIF($F$2:$F$51,L9)=0,COUNTIFS($F$2:$F$51,L9,$Q$2:$Q$51,"Aprobada")&gt;0),OR(M9="",COUNTIF($F$2:$F$51,M9)=0,COUNTIFS($F$2:$F$51,M9,$Q$2:$Q$51,"Aprobada")&gt;0),OR(N9="",COUNTIF($F$2:$F$51,N9)=0,COUNTIFS($F$2:$F$51,N9,$Q$2:$Q$51,"Aprobada")&gt;0),OR(O9="",COUNTIF($F$2:$F$51,O9)=0,COUNTIFS($F$2:$F$51,O9,$Q$2:$Q$51,"Aprobada")&gt;0),OR(P9="",COUNTIF($F$2:$F$51,P9)=0,COUNTIFS($F$2:$F$51,P9,$Q$2:$Q$51,"Aprobada")&gt;0)),"Sí","No"),"")</f>
        <v/>
      </c>
      <c r="U9" s="9" t="str">
        <f aca="false">IF(Q9="Aprobada",TRIM(IF(NOT(OR(L9="",COUNTIF($F$2:$F$51,L9)=0,COUNTIFS($F$2:$F$51,L9,$Q$2:$Q$51,"Aprobada")&gt;0)),L9&amp;" ","")&amp;IF(NOT(OR(M9="",COUNTIF($F$2:$F$51,M9)=0,COUNTIFS($F$2:$F$51,M9,$Q$2:$Q$51,"Aprobada")&gt;0)),M9&amp;" ","")&amp;IF(NOT(OR(N9="",COUNTIF($F$2:$F$51,N9)=0,COUNTIFS($F$2:$F$51,N9,$Q$2:$Q$51,"Aprobada")&gt;0)),N9&amp;" ","")&amp;IF(NOT(OR(O9="",COUNTIF($F$2:$F$51,O9)=0,COUNTIFS($F$2:$F$51,O9,$Q$2:$Q$51,"Aprobada")&gt;0)),O9&amp;" ","")&amp;IF(NOT(OR(P9="",COUNTIF($F$2:$F$51,P9)=0,COUNTIFS($F$2:$F$51,P9,$Q$2:$Q$51,"Aprobada")&gt;0)),P9&amp;" ","")),IF(Q9="Cursada aprobada",TRIM(IF(NOT(OR(L9="",COUNTIF($F$2:$F$51,L9)=0,COUNTIFS($F$2:$F$51,L9,$Q$2:$Q$51,"Aprobada")&gt;0,AND(Resumen!$B$15="La cursada aprobada",COUNTIFS($F$2:$F$51,L9,$Q$2:$Q$51,"Cursada aprobada")&gt;0))),L9&amp;" ","")&amp;IF(NOT(OR(M9="",COUNTIF($F$2:$F$51,M9)=0,COUNTIFS($F$2:$F$51,M9,$Q$2:$Q$51,"Aprobada")&gt;0,AND(Resumen!$B$15="La cursada aprobada",COUNTIFS($F$2:$F$51,M9,$Q$2:$Q$51,"Cursada aprobada")&gt;0))),M9&amp;" ","")&amp;IF(NOT(OR(N9="",COUNTIF($F$2:$F$51,N9)=0,COUNTIFS($F$2:$F$51,N9,$Q$2:$Q$51,"Aprobada")&gt;0,AND(Resumen!$B$15="La cursada aprobada",COUNTIFS($F$2:$F$51,N9,$Q$2:$Q$51,"Cursada aprobada")&gt;0))),N9&amp;" ","")&amp;IF(NOT(OR(O9="",COUNTIF($F$2:$F$51,O9)=0,COUNTIFS($F$2:$F$51,O9,$Q$2:$Q$51,"Aprobada")&gt;0,AND(Resumen!$B$15="La cursada aprobada",COUNTIFS($F$2:$F$51,O9,$Q$2:$Q$51,"Cursada aprobada")&gt;0))),O9&amp;" ","")&amp;IF(NOT(OR(P9="",COUNTIF($F$2:$F$51,P9)=0,COUNTIFS($F$2:$F$51,P9,$Q$2:$Q$51,"Aprobada")&gt;0,AND(Resumen!$B$15="La cursada aprobada",COUNTIFS($F$2:$F$51,P9,$Q$2:$Q$51,"Cursada aprobada")&gt;0))),P9&amp;" ","")),""))</f>
        <v/>
      </c>
    </row>
    <row r="10" customFormat="false" ht="15" hidden="false" customHeight="false" outlineLevel="0" collapsed="false">
      <c r="A10" s="8" t="s">
        <v>58</v>
      </c>
      <c r="B10" s="8"/>
      <c r="C10" s="9" t="n">
        <v>2</v>
      </c>
      <c r="D10" s="9" t="n">
        <v>1</v>
      </c>
      <c r="E10" s="9" t="s">
        <v>69</v>
      </c>
      <c r="F10" s="9" t="n">
        <v>280</v>
      </c>
      <c r="G10" s="8" t="s">
        <v>76</v>
      </c>
      <c r="H10" s="9" t="s">
        <v>71</v>
      </c>
      <c r="I10" s="9" t="n">
        <v>4</v>
      </c>
      <c r="J10" s="9"/>
      <c r="K10" s="9" t="n">
        <v>64</v>
      </c>
      <c r="L10" s="9" t="n">
        <v>180</v>
      </c>
      <c r="M10" s="9"/>
      <c r="N10" s="9"/>
      <c r="O10" s="9"/>
      <c r="P10" s="9"/>
      <c r="Q10" s="10" t="s">
        <v>62</v>
      </c>
      <c r="R10" s="9" t="str">
        <f aca="false">IF(Q10="Aprobada","Ya aprobada",IF(Q10="Cursada aprobada","Ya cursada",IF(AND(OR(L10="",COUNTIF($F$2:$F$51,L10)=0,COUNTIFS($F$2:$F$51,L10,$Q$2:$Q$51,"Aprobada")&gt;0,AND(Resumen!$B$15="La cursada aprobada",COUNTIFS($F$2:$F$51,L10,$Q$2:$Q$51,"Cursada aprobada")&gt;0)),OR(M10="",COUNTIF($F$2:$F$51,M10)=0,COUNTIFS($F$2:$F$51,M10,$Q$2:$Q$51,"Aprobada")&gt;0,AND(Resumen!$B$15="La cursada aprobada",COUNTIFS($F$2:$F$51,M10,$Q$2:$Q$51,"Cursada aprobada")&gt;0)),OR(N10="",COUNTIF($F$2:$F$51,N10)=0,COUNTIFS($F$2:$F$51,N10,$Q$2:$Q$51,"Aprobada")&gt;0,AND(Resumen!$B$15="La cursada aprobada",COUNTIFS($F$2:$F$51,N10,$Q$2:$Q$51,"Cursada aprobada")&gt;0)),OR(O10="",COUNTIF($F$2:$F$51,O10)=0,COUNTIFS($F$2:$F$51,O10,$Q$2:$Q$51,"Aprobada")&gt;0,AND(Resumen!$B$15="La cursada aprobada",COUNTIFS($F$2:$F$51,O10,$Q$2:$Q$51,"Cursada aprobada")&gt;0)),OR(P10="",COUNTIF($F$2:$F$51,P10)=0,COUNTIFS($F$2:$F$51,P10,$Q$2:$Q$51,"Aprobada")&gt;0,AND(Resumen!$B$15="La cursada aprobada",COUNTIFS($F$2:$F$51,P10,$Q$2:$Q$51,"Cursada aprobada")&gt;0))),"Sí","No")))</f>
        <v>No</v>
      </c>
      <c r="S10" s="8" t="str">
        <f aca="false">TRIM(IF(NOT(OR(L10="",COUNTIF($F$2:$F$51,L10)=0,COUNTIFS($F$2:$F$51,L10,$Q$2:$Q$51,"Aprobada")&gt;0,AND(Resumen!$B$15="La cursada aprobada",COUNTIFS($F$2:$F$51,L10,$Q$2:$Q$51,"Cursada aprobada")&gt;0))),L10&amp;" ","")&amp;IF(NOT(OR(M10="",COUNTIF($F$2:$F$51,M10)=0,COUNTIFS($F$2:$F$51,M10,$Q$2:$Q$51,"Aprobada")&gt;0,AND(Resumen!$B$15="La cursada aprobada",COUNTIFS($F$2:$F$51,M10,$Q$2:$Q$51,"Cursada aprobada")&gt;0))),M10&amp;" ","")&amp;IF(NOT(OR(N10="",COUNTIF($F$2:$F$51,N10)=0,COUNTIFS($F$2:$F$51,N10,$Q$2:$Q$51,"Aprobada")&gt;0,AND(Resumen!$B$15="La cursada aprobada",COUNTIFS($F$2:$F$51,N10,$Q$2:$Q$51,"Cursada aprobada")&gt;0))),N10&amp;" ","")&amp;IF(NOT(OR(O10="",COUNTIF($F$2:$F$51,O10)=0,COUNTIFS($F$2:$F$51,O10,$Q$2:$Q$51,"Aprobada")&gt;0,AND(Resumen!$B$15="La cursada aprobada",COUNTIFS($F$2:$F$51,O10,$Q$2:$Q$51,"Cursada aprobada")&gt;0))),O10&amp;" ","")&amp;IF(NOT(OR(P10="",COUNTIF($F$2:$F$51,P10)=0,COUNTIFS($F$2:$F$51,P10,$Q$2:$Q$51,"Aprobada")&gt;0,AND(Resumen!$B$15="La cursada aprobada",COUNTIFS($F$2:$F$51,P10,$Q$2:$Q$51,"Cursada aprobada")&gt;0))),P10&amp;" ",""))</f>
        <v>180</v>
      </c>
      <c r="T10" s="9" t="str">
        <f aca="false">IF(Q10="Cursada aprobada",IF(AND(OR(L10="",COUNTIF($F$2:$F$51,L10)=0,COUNTIFS($F$2:$F$51,L10,$Q$2:$Q$51,"Aprobada")&gt;0),OR(M10="",COUNTIF($F$2:$F$51,M10)=0,COUNTIFS($F$2:$F$51,M10,$Q$2:$Q$51,"Aprobada")&gt;0),OR(N10="",COUNTIF($F$2:$F$51,N10)=0,COUNTIFS($F$2:$F$51,N10,$Q$2:$Q$51,"Aprobada")&gt;0),OR(O10="",COUNTIF($F$2:$F$51,O10)=0,COUNTIFS($F$2:$F$51,O10,$Q$2:$Q$51,"Aprobada")&gt;0),OR(P10="",COUNTIF($F$2:$F$51,P10)=0,COUNTIFS($F$2:$F$51,P10,$Q$2:$Q$51,"Aprobada")&gt;0)),"Sí","No"),"")</f>
        <v/>
      </c>
      <c r="U10" s="9" t="str">
        <f aca="false">IF(Q10="Aprobada",TRIM(IF(NOT(OR(L10="",COUNTIF($F$2:$F$51,L10)=0,COUNTIFS($F$2:$F$51,L10,$Q$2:$Q$51,"Aprobada")&gt;0)),L10&amp;" ","")&amp;IF(NOT(OR(M10="",COUNTIF($F$2:$F$51,M10)=0,COUNTIFS($F$2:$F$51,M10,$Q$2:$Q$51,"Aprobada")&gt;0)),M10&amp;" ","")&amp;IF(NOT(OR(N10="",COUNTIF($F$2:$F$51,N10)=0,COUNTIFS($F$2:$F$51,N10,$Q$2:$Q$51,"Aprobada")&gt;0)),N10&amp;" ","")&amp;IF(NOT(OR(O10="",COUNTIF($F$2:$F$51,O10)=0,COUNTIFS($F$2:$F$51,O10,$Q$2:$Q$51,"Aprobada")&gt;0)),O10&amp;" ","")&amp;IF(NOT(OR(P10="",COUNTIF($F$2:$F$51,P10)=0,COUNTIFS($F$2:$F$51,P10,$Q$2:$Q$51,"Aprobada")&gt;0)),P10&amp;" ","")),IF(Q10="Cursada aprobada",TRIM(IF(NOT(OR(L10="",COUNTIF($F$2:$F$51,L10)=0,COUNTIFS($F$2:$F$51,L10,$Q$2:$Q$51,"Aprobada")&gt;0,AND(Resumen!$B$15="La cursada aprobada",COUNTIFS($F$2:$F$51,L10,$Q$2:$Q$51,"Cursada aprobada")&gt;0))),L10&amp;" ","")&amp;IF(NOT(OR(M10="",COUNTIF($F$2:$F$51,M10)=0,COUNTIFS($F$2:$F$51,M10,$Q$2:$Q$51,"Aprobada")&gt;0,AND(Resumen!$B$15="La cursada aprobada",COUNTIFS($F$2:$F$51,M10,$Q$2:$Q$51,"Cursada aprobada")&gt;0))),M10&amp;" ","")&amp;IF(NOT(OR(N10="",COUNTIF($F$2:$F$51,N10)=0,COUNTIFS($F$2:$F$51,N10,$Q$2:$Q$51,"Aprobada")&gt;0,AND(Resumen!$B$15="La cursada aprobada",COUNTIFS($F$2:$F$51,N10,$Q$2:$Q$51,"Cursada aprobada")&gt;0))),N10&amp;" ","")&amp;IF(NOT(OR(O10="",COUNTIF($F$2:$F$51,O10)=0,COUNTIFS($F$2:$F$51,O10,$Q$2:$Q$51,"Aprobada")&gt;0,AND(Resumen!$B$15="La cursada aprobada",COUNTIFS($F$2:$F$51,O10,$Q$2:$Q$51,"Cursada aprobada")&gt;0))),O10&amp;" ","")&amp;IF(NOT(OR(P10="",COUNTIF($F$2:$F$51,P10)=0,COUNTIFS($F$2:$F$51,P10,$Q$2:$Q$51,"Aprobada")&gt;0,AND(Resumen!$B$15="La cursada aprobada",COUNTIFS($F$2:$F$51,P10,$Q$2:$Q$51,"Cursada aprobada")&gt;0))),P10&amp;" ","")),""))</f>
        <v/>
      </c>
    </row>
    <row r="11" customFormat="false" ht="15" hidden="false" customHeight="false" outlineLevel="0" collapsed="false">
      <c r="A11" s="8" t="s">
        <v>58</v>
      </c>
      <c r="B11" s="8"/>
      <c r="C11" s="9" t="n">
        <v>2</v>
      </c>
      <c r="D11" s="9" t="n">
        <v>1</v>
      </c>
      <c r="E11" s="9" t="s">
        <v>77</v>
      </c>
      <c r="F11" s="9" t="n">
        <v>202</v>
      </c>
      <c r="G11" s="8" t="s">
        <v>78</v>
      </c>
      <c r="H11" s="9" t="s">
        <v>71</v>
      </c>
      <c r="I11" s="9" t="n">
        <v>4</v>
      </c>
      <c r="J11" s="9" t="n">
        <v>32</v>
      </c>
      <c r="K11" s="9"/>
      <c r="L11" s="9"/>
      <c r="M11" s="9"/>
      <c r="N11" s="9"/>
      <c r="O11" s="9"/>
      <c r="P11" s="9"/>
      <c r="Q11" s="10" t="s">
        <v>62</v>
      </c>
      <c r="R11" s="9" t="str">
        <f aca="false">IF(Q11="Aprobada","Ya aprobada",IF(Q11="Cursada aprobada","Ya cursada",IF(AND(OR(L11="",COUNTIF($F$2:$F$51,L11)=0,COUNTIFS($F$2:$F$51,L11,$Q$2:$Q$51,"Aprobada")&gt;0,AND(Resumen!$B$15="La cursada aprobada",COUNTIFS($F$2:$F$51,L11,$Q$2:$Q$51,"Cursada aprobada")&gt;0)),OR(M11="",COUNTIF($F$2:$F$51,M11)=0,COUNTIFS($F$2:$F$51,M11,$Q$2:$Q$51,"Aprobada")&gt;0,AND(Resumen!$B$15="La cursada aprobada",COUNTIFS($F$2:$F$51,M11,$Q$2:$Q$51,"Cursada aprobada")&gt;0)),OR(N11="",COUNTIF($F$2:$F$51,N11)=0,COUNTIFS($F$2:$F$51,N11,$Q$2:$Q$51,"Aprobada")&gt;0,AND(Resumen!$B$15="La cursada aprobada",COUNTIFS($F$2:$F$51,N11,$Q$2:$Q$51,"Cursada aprobada")&gt;0)),OR(O11="",COUNTIF($F$2:$F$51,O11)=0,COUNTIFS($F$2:$F$51,O11,$Q$2:$Q$51,"Aprobada")&gt;0,AND(Resumen!$B$15="La cursada aprobada",COUNTIFS($F$2:$F$51,O11,$Q$2:$Q$51,"Cursada aprobada")&gt;0)),OR(P11="",COUNTIF($F$2:$F$51,P11)=0,COUNTIFS($F$2:$F$51,P11,$Q$2:$Q$51,"Aprobada")&gt;0,AND(Resumen!$B$15="La cursada aprobada",COUNTIFS($F$2:$F$51,P11,$Q$2:$Q$51,"Cursada aprobada")&gt;0))),"Sí","No")))</f>
        <v>Sí</v>
      </c>
      <c r="S11" s="8" t="str">
        <f aca="false">TRIM(IF(NOT(OR(L11="",COUNTIF($F$2:$F$51,L11)=0,COUNTIFS($F$2:$F$51,L11,$Q$2:$Q$51,"Aprobada")&gt;0,AND(Resumen!$B$15="La cursada aprobada",COUNTIFS($F$2:$F$51,L11,$Q$2:$Q$51,"Cursada aprobada")&gt;0))),L11&amp;" ","")&amp;IF(NOT(OR(M11="",COUNTIF($F$2:$F$51,M11)=0,COUNTIFS($F$2:$F$51,M11,$Q$2:$Q$51,"Aprobada")&gt;0,AND(Resumen!$B$15="La cursada aprobada",COUNTIFS($F$2:$F$51,M11,$Q$2:$Q$51,"Cursada aprobada")&gt;0))),M11&amp;" ","")&amp;IF(NOT(OR(N11="",COUNTIF($F$2:$F$51,N11)=0,COUNTIFS($F$2:$F$51,N11,$Q$2:$Q$51,"Aprobada")&gt;0,AND(Resumen!$B$15="La cursada aprobada",COUNTIFS($F$2:$F$51,N11,$Q$2:$Q$51,"Cursada aprobada")&gt;0))),N11&amp;" ","")&amp;IF(NOT(OR(O11="",COUNTIF($F$2:$F$51,O11)=0,COUNTIFS($F$2:$F$51,O11,$Q$2:$Q$51,"Aprobada")&gt;0,AND(Resumen!$B$15="La cursada aprobada",COUNTIFS($F$2:$F$51,O11,$Q$2:$Q$51,"Cursada aprobada")&gt;0))),O11&amp;" ","")&amp;IF(NOT(OR(P11="",COUNTIF($F$2:$F$51,P11)=0,COUNTIFS($F$2:$F$51,P11,$Q$2:$Q$51,"Aprobada")&gt;0,AND(Resumen!$B$15="La cursada aprobada",COUNTIFS($F$2:$F$51,P11,$Q$2:$Q$51,"Cursada aprobada")&gt;0))),P11&amp;" ",""))</f>
        <v/>
      </c>
      <c r="T11" s="9" t="str">
        <f aca="false">IF(Q11="Cursada aprobada",IF(AND(OR(L11="",COUNTIF($F$2:$F$51,L11)=0,COUNTIFS($F$2:$F$51,L11,$Q$2:$Q$51,"Aprobada")&gt;0),OR(M11="",COUNTIF($F$2:$F$51,M11)=0,COUNTIFS($F$2:$F$51,M11,$Q$2:$Q$51,"Aprobada")&gt;0),OR(N11="",COUNTIF($F$2:$F$51,N11)=0,COUNTIFS($F$2:$F$51,N11,$Q$2:$Q$51,"Aprobada")&gt;0),OR(O11="",COUNTIF($F$2:$F$51,O11)=0,COUNTIFS($F$2:$F$51,O11,$Q$2:$Q$51,"Aprobada")&gt;0),OR(P11="",COUNTIF($F$2:$F$51,P11)=0,COUNTIFS($F$2:$F$51,P11,$Q$2:$Q$51,"Aprobada")&gt;0)),"Sí","No"),"")</f>
        <v/>
      </c>
      <c r="U11" s="9" t="str">
        <f aca="false">IF(Q11="Aprobada",TRIM(IF(NOT(OR(L11="",COUNTIF($F$2:$F$51,L11)=0,COUNTIFS($F$2:$F$51,L11,$Q$2:$Q$51,"Aprobada")&gt;0)),L11&amp;" ","")&amp;IF(NOT(OR(M11="",COUNTIF($F$2:$F$51,M11)=0,COUNTIFS($F$2:$F$51,M11,$Q$2:$Q$51,"Aprobada")&gt;0)),M11&amp;" ","")&amp;IF(NOT(OR(N11="",COUNTIF($F$2:$F$51,N11)=0,COUNTIFS($F$2:$F$51,N11,$Q$2:$Q$51,"Aprobada")&gt;0)),N11&amp;" ","")&amp;IF(NOT(OR(O11="",COUNTIF($F$2:$F$51,O11)=0,COUNTIFS($F$2:$F$51,O11,$Q$2:$Q$51,"Aprobada")&gt;0)),O11&amp;" ","")&amp;IF(NOT(OR(P11="",COUNTIF($F$2:$F$51,P11)=0,COUNTIFS($F$2:$F$51,P11,$Q$2:$Q$51,"Aprobada")&gt;0)),P11&amp;" ","")),IF(Q11="Cursada aprobada",TRIM(IF(NOT(OR(L11="",COUNTIF($F$2:$F$51,L11)=0,COUNTIFS($F$2:$F$51,L11,$Q$2:$Q$51,"Aprobada")&gt;0,AND(Resumen!$B$15="La cursada aprobada",COUNTIFS($F$2:$F$51,L11,$Q$2:$Q$51,"Cursada aprobada")&gt;0))),L11&amp;" ","")&amp;IF(NOT(OR(M11="",COUNTIF($F$2:$F$51,M11)=0,COUNTIFS($F$2:$F$51,M11,$Q$2:$Q$51,"Aprobada")&gt;0,AND(Resumen!$B$15="La cursada aprobada",COUNTIFS($F$2:$F$51,M11,$Q$2:$Q$51,"Cursada aprobada")&gt;0))),M11&amp;" ","")&amp;IF(NOT(OR(N11="",COUNTIF($F$2:$F$51,N11)=0,COUNTIFS($F$2:$F$51,N11,$Q$2:$Q$51,"Aprobada")&gt;0,AND(Resumen!$B$15="La cursada aprobada",COUNTIFS($F$2:$F$51,N11,$Q$2:$Q$51,"Cursada aprobada")&gt;0))),N11&amp;" ","")&amp;IF(NOT(OR(O11="",COUNTIF($F$2:$F$51,O11)=0,COUNTIFS($F$2:$F$51,O11,$Q$2:$Q$51,"Aprobada")&gt;0,AND(Resumen!$B$15="La cursada aprobada",COUNTIFS($F$2:$F$51,O11,$Q$2:$Q$51,"Cursada aprobada")&gt;0))),O11&amp;" ","")&amp;IF(NOT(OR(P11="",COUNTIF($F$2:$F$51,P11)=0,COUNTIFS($F$2:$F$51,P11,$Q$2:$Q$51,"Aprobada")&gt;0,AND(Resumen!$B$15="La cursada aprobada",COUNTIFS($F$2:$F$51,P11,$Q$2:$Q$51,"Cursada aprobada")&gt;0))),P11&amp;" ","")),""))</f>
        <v/>
      </c>
    </row>
    <row r="12" customFormat="false" ht="15" hidden="false" customHeight="false" outlineLevel="0" collapsed="false">
      <c r="A12" s="8" t="s">
        <v>58</v>
      </c>
      <c r="B12" s="8"/>
      <c r="C12" s="9" t="n">
        <v>2</v>
      </c>
      <c r="D12" s="9" t="n">
        <v>1</v>
      </c>
      <c r="E12" s="9" t="s">
        <v>99</v>
      </c>
      <c r="F12" s="9" t="n">
        <v>1002</v>
      </c>
      <c r="G12" s="8" t="s">
        <v>206</v>
      </c>
      <c r="H12" s="9"/>
      <c r="I12" s="9"/>
      <c r="J12" s="9"/>
      <c r="K12" s="9" t="n">
        <v>96</v>
      </c>
      <c r="L12" s="9" t="n">
        <v>1001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cursada",IF(AND(OR(L12="",COUNTIF($F$2:$F$51,L12)=0,COUNTIFS($F$2:$F$51,L12,$Q$2:$Q$51,"Aprobada")&gt;0,AND(Resumen!$B$15="La cursada aprobada",COUNTIFS($F$2:$F$51,L12,$Q$2:$Q$51,"Cursada aprobada")&gt;0)),OR(M12="",COUNTIF($F$2:$F$51,M12)=0,COUNTIFS($F$2:$F$51,M12,$Q$2:$Q$51,"Aprobada")&gt;0,AND(Resumen!$B$15="La cursada aprobada",COUNTIFS($F$2:$F$51,M12,$Q$2:$Q$51,"Cursada aprobada")&gt;0)),OR(N12="",COUNTIF($F$2:$F$51,N12)=0,COUNTIFS($F$2:$F$51,N12,$Q$2:$Q$51,"Aprobada")&gt;0,AND(Resumen!$B$15="La cursada aprobada",COUNTIFS($F$2:$F$51,N12,$Q$2:$Q$51,"Cursada aprobada")&gt;0)),OR(O12="",COUNTIF($F$2:$F$51,O12)=0,COUNTIFS($F$2:$F$51,O12,$Q$2:$Q$51,"Aprobada")&gt;0,AND(Resumen!$B$15="La cursada aprobada",COUNTIFS($F$2:$F$51,O12,$Q$2:$Q$51,"Cursada aprobada")&gt;0)),OR(P12="",COUNTIF($F$2:$F$51,P12)=0,COUNTIFS($F$2:$F$51,P12,$Q$2:$Q$51,"Aprobada")&gt;0,AND(Resumen!$B$15="La cursada aprobada",COUNTIFS($F$2:$F$51,P12,$Q$2:$Q$51,"Cursada aprobada")&gt;0))),"Sí","No")))</f>
        <v>No</v>
      </c>
      <c r="S12" s="8" t="str">
        <f aca="false">TRIM(IF(NOT(OR(L12="",COUNTIF($F$2:$F$51,L12)=0,COUNTIFS($F$2:$F$51,L12,$Q$2:$Q$51,"Aprobada")&gt;0,AND(Resumen!$B$15="La cursada aprobada",COUNTIFS($F$2:$F$51,L12,$Q$2:$Q$51,"Cursada aprobada")&gt;0))),L12&amp;" ","")&amp;IF(NOT(OR(M12="",COUNTIF($F$2:$F$51,M12)=0,COUNTIFS($F$2:$F$51,M12,$Q$2:$Q$51,"Aprobada")&gt;0,AND(Resumen!$B$15="La cursada aprobada",COUNTIFS($F$2:$F$51,M12,$Q$2:$Q$51,"Cursada aprobada")&gt;0))),M12&amp;" ","")&amp;IF(NOT(OR(N12="",COUNTIF($F$2:$F$51,N12)=0,COUNTIFS($F$2:$F$51,N12,$Q$2:$Q$51,"Aprobada")&gt;0,AND(Resumen!$B$15="La cursada aprobada",COUNTIFS($F$2:$F$51,N12,$Q$2:$Q$51,"Cursada aprobada")&gt;0))),N12&amp;" ","")&amp;IF(NOT(OR(O12="",COUNTIF($F$2:$F$51,O12)=0,COUNTIFS($F$2:$F$51,O12,$Q$2:$Q$51,"Aprobada")&gt;0,AND(Resumen!$B$15="La cursada aprobada",COUNTIFS($F$2:$F$51,O12,$Q$2:$Q$51,"Cursada aprobada")&gt;0))),O12&amp;" ","")&amp;IF(NOT(OR(P12="",COUNTIF($F$2:$F$51,P12)=0,COUNTIFS($F$2:$F$51,P12,$Q$2:$Q$51,"Aprobada")&gt;0,AND(Resumen!$B$15="La cursada aprobada",COUNTIFS($F$2:$F$51,P12,$Q$2:$Q$51,"Cursada aprobada")&gt;0))),P12&amp;" ",""))</f>
        <v>1001</v>
      </c>
      <c r="T12" s="9" t="str">
        <f aca="false">IF(Q12="Cursada aprobada",IF(AND(OR(L12="",COUNTIF($F$2:$F$51,L12)=0,COUNTIFS($F$2:$F$51,L12,$Q$2:$Q$51,"Aprobada")&gt;0),OR(M12="",COUNTIF($F$2:$F$51,M12)=0,COUNTIFS($F$2:$F$51,M12,$Q$2:$Q$51,"Aprobada")&gt;0),OR(N12="",COUNTIF($F$2:$F$51,N12)=0,COUNTIFS($F$2:$F$51,N12,$Q$2:$Q$51,"Aprobada")&gt;0),OR(O12="",COUNTIF($F$2:$F$51,O12)=0,COUNTIFS($F$2:$F$51,O12,$Q$2:$Q$51,"Aprobada")&gt;0),OR(P12="",COUNTIF($F$2:$F$51,P12)=0,COUNTIFS($F$2:$F$51,P12,$Q$2:$Q$51,"Aprobada")&gt;0)),"Sí","No"),"")</f>
        <v/>
      </c>
      <c r="U12" s="9" t="str">
        <f aca="false">IF(Q12="Aprobada",TRIM(IF(NOT(OR(L12="",COUNTIF($F$2:$F$51,L12)=0,COUNTIFS($F$2:$F$51,L12,$Q$2:$Q$51,"Aprobada")&gt;0)),L12&amp;" ","")&amp;IF(NOT(OR(M12="",COUNTIF($F$2:$F$51,M12)=0,COUNTIFS($F$2:$F$51,M12,$Q$2:$Q$51,"Aprobada")&gt;0)),M12&amp;" ","")&amp;IF(NOT(OR(N12="",COUNTIF($F$2:$F$51,N12)=0,COUNTIFS($F$2:$F$51,N12,$Q$2:$Q$51,"Aprobada")&gt;0)),N12&amp;" ","")&amp;IF(NOT(OR(O12="",COUNTIF($F$2:$F$51,O12)=0,COUNTIFS($F$2:$F$51,O12,$Q$2:$Q$51,"Aprobada")&gt;0)),O12&amp;" ","")&amp;IF(NOT(OR(P12="",COUNTIF($F$2:$F$51,P12)=0,COUNTIFS($F$2:$F$51,P12,$Q$2:$Q$51,"Aprobada")&gt;0)),P12&amp;" ","")),IF(Q12="Cursada aprobada",TRIM(IF(NOT(OR(L12="",COUNTIF($F$2:$F$51,L12)=0,COUNTIFS($F$2:$F$51,L12,$Q$2:$Q$51,"Aprobada")&gt;0,AND(Resumen!$B$15="La cursada aprobada",COUNTIFS($F$2:$F$51,L12,$Q$2:$Q$51,"Cursada aprobada")&gt;0))),L12&amp;" ","")&amp;IF(NOT(OR(M12="",COUNTIF($F$2:$F$51,M12)=0,COUNTIFS($F$2:$F$51,M12,$Q$2:$Q$51,"Aprobada")&gt;0,AND(Resumen!$B$15="La cursada aprobada",COUNTIFS($F$2:$F$51,M12,$Q$2:$Q$51,"Cursada aprobada")&gt;0))),M12&amp;" ","")&amp;IF(NOT(OR(N12="",COUNTIF($F$2:$F$51,N12)=0,COUNTIFS($F$2:$F$51,N12,$Q$2:$Q$51,"Aprobada")&gt;0,AND(Resumen!$B$15="La cursada aprobada",COUNTIFS($F$2:$F$51,N12,$Q$2:$Q$51,"Cursada aprobada")&gt;0))),N12&amp;" ","")&amp;IF(NOT(OR(O12="",COUNTIF($F$2:$F$51,O12)=0,COUNTIFS($F$2:$F$51,O12,$Q$2:$Q$51,"Aprobada")&gt;0,AND(Resumen!$B$15="La cursada aprobada",COUNTIFS($F$2:$F$51,O12,$Q$2:$Q$51,"Cursada aprobada")&gt;0))),O12&amp;" ","")&amp;IF(NOT(OR(P12="",COUNTIF($F$2:$F$51,P12)=0,COUNTIFS($F$2:$F$51,P12,$Q$2:$Q$51,"Aprobada")&gt;0,AND(Resumen!$B$15="La cursada aprobada",COUNTIFS($F$2:$F$51,P12,$Q$2:$Q$51,"Cursada aprobada")&gt;0))),P12&amp;" ","")),""))</f>
        <v/>
      </c>
    </row>
    <row r="13" customFormat="false" ht="15" hidden="false" customHeight="false" outlineLevel="0" collapsed="false">
      <c r="A13" s="8" t="s">
        <v>58</v>
      </c>
      <c r="B13" s="8"/>
      <c r="C13" s="9" t="n">
        <v>2</v>
      </c>
      <c r="D13" s="9" t="n">
        <v>2</v>
      </c>
      <c r="E13" s="9" t="s">
        <v>59</v>
      </c>
      <c r="F13" s="9" t="n">
        <v>208</v>
      </c>
      <c r="G13" s="8" t="s">
        <v>81</v>
      </c>
      <c r="H13" s="9" t="s">
        <v>61</v>
      </c>
      <c r="I13" s="9" t="n">
        <v>6</v>
      </c>
      <c r="J13" s="9"/>
      <c r="K13" s="9" t="n">
        <v>96</v>
      </c>
      <c r="L13" s="9" t="n">
        <v>101</v>
      </c>
      <c r="M13" s="9" t="n">
        <v>108</v>
      </c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cursada",IF(AND(OR(L13="",COUNTIF($F$2:$F$51,L13)=0,COUNTIFS($F$2:$F$51,L13,$Q$2:$Q$51,"Aprobada")&gt;0,AND(Resumen!$B$15="La cursada aprobada",COUNTIFS($F$2:$F$51,L13,$Q$2:$Q$51,"Cursada aprobada")&gt;0)),OR(M13="",COUNTIF($F$2:$F$51,M13)=0,COUNTIFS($F$2:$F$51,M13,$Q$2:$Q$51,"Aprobada")&gt;0,AND(Resumen!$B$15="La cursada aprobada",COUNTIFS($F$2:$F$51,M13,$Q$2:$Q$51,"Cursada aprobada")&gt;0)),OR(N13="",COUNTIF($F$2:$F$51,N13)=0,COUNTIFS($F$2:$F$51,N13,$Q$2:$Q$51,"Aprobada")&gt;0,AND(Resumen!$B$15="La cursada aprobada",COUNTIFS($F$2:$F$51,N13,$Q$2:$Q$51,"Cursada aprobada")&gt;0)),OR(O13="",COUNTIF($F$2:$F$51,O13)=0,COUNTIFS($F$2:$F$51,O13,$Q$2:$Q$51,"Aprobada")&gt;0,AND(Resumen!$B$15="La cursada aprobada",COUNTIFS($F$2:$F$51,O13,$Q$2:$Q$51,"Cursada aprobada")&gt;0)),OR(P13="",COUNTIF($F$2:$F$51,P13)=0,COUNTIFS($F$2:$F$51,P13,$Q$2:$Q$51,"Aprobada")&gt;0,AND(Resumen!$B$15="La cursada aprobada",COUNTIFS($F$2:$F$51,P13,$Q$2:$Q$51,"Cursada aprobada")&gt;0))),"Sí","No")))</f>
        <v>No</v>
      </c>
      <c r="S13" s="8" t="str">
        <f aca="false">TRIM(IF(NOT(OR(L13="",COUNTIF($F$2:$F$51,L13)=0,COUNTIFS($F$2:$F$51,L13,$Q$2:$Q$51,"Aprobada")&gt;0,AND(Resumen!$B$15="La cursada aprobada",COUNTIFS($F$2:$F$51,L13,$Q$2:$Q$51,"Cursada aprobada")&gt;0))),L13&amp;" ","")&amp;IF(NOT(OR(M13="",COUNTIF($F$2:$F$51,M13)=0,COUNTIFS($F$2:$F$51,M13,$Q$2:$Q$51,"Aprobada")&gt;0,AND(Resumen!$B$15="La cursada aprobada",COUNTIFS($F$2:$F$51,M13,$Q$2:$Q$51,"Cursada aprobada")&gt;0))),M13&amp;" ","")&amp;IF(NOT(OR(N13="",COUNTIF($F$2:$F$51,N13)=0,COUNTIFS($F$2:$F$51,N13,$Q$2:$Q$51,"Aprobada")&gt;0,AND(Resumen!$B$15="La cursada aprobada",COUNTIFS($F$2:$F$51,N13,$Q$2:$Q$51,"Cursada aprobada")&gt;0))),N13&amp;" ","")&amp;IF(NOT(OR(O13="",COUNTIF($F$2:$F$51,O13)=0,COUNTIFS($F$2:$F$51,O13,$Q$2:$Q$51,"Aprobada")&gt;0,AND(Resumen!$B$15="La cursada aprobada",COUNTIFS($F$2:$F$51,O13,$Q$2:$Q$51,"Cursada aprobada")&gt;0))),O13&amp;" ","")&amp;IF(NOT(OR(P13="",COUNTIF($F$2:$F$51,P13)=0,COUNTIFS($F$2:$F$51,P13,$Q$2:$Q$51,"Aprobada")&gt;0,AND(Resumen!$B$15="La cursada aprobada",COUNTIFS($F$2:$F$51,P13,$Q$2:$Q$51,"Cursada aprobada")&gt;0))),P13&amp;" ",""))</f>
        <v>101 108</v>
      </c>
      <c r="T13" s="9" t="str">
        <f aca="false">IF(Q13="Cursada aprobada",IF(AND(OR(L13="",COUNTIF($F$2:$F$51,L13)=0,COUNTIFS($F$2:$F$51,L13,$Q$2:$Q$51,"Aprobada")&gt;0),OR(M13="",COUNTIF($F$2:$F$51,M13)=0,COUNTIFS($F$2:$F$51,M13,$Q$2:$Q$51,"Aprobada")&gt;0),OR(N13="",COUNTIF($F$2:$F$51,N13)=0,COUNTIFS($F$2:$F$51,N13,$Q$2:$Q$51,"Aprobada")&gt;0),OR(O13="",COUNTIF($F$2:$F$51,O13)=0,COUNTIFS($F$2:$F$51,O13,$Q$2:$Q$51,"Aprobada")&gt;0),OR(P13="",COUNTIF($F$2:$F$51,P13)=0,COUNTIFS($F$2:$F$51,P13,$Q$2:$Q$51,"Aprobada")&gt;0)),"Sí","No"),"")</f>
        <v/>
      </c>
      <c r="U13" s="9" t="str">
        <f aca="false">IF(Q13="Aprobada",TRIM(IF(NOT(OR(L13="",COUNTIF($F$2:$F$51,L13)=0,COUNTIFS($F$2:$F$51,L13,$Q$2:$Q$51,"Aprobada")&gt;0)),L13&amp;" ","")&amp;IF(NOT(OR(M13="",COUNTIF($F$2:$F$51,M13)=0,COUNTIFS($F$2:$F$51,M13,$Q$2:$Q$51,"Aprobada")&gt;0)),M13&amp;" ","")&amp;IF(NOT(OR(N13="",COUNTIF($F$2:$F$51,N13)=0,COUNTIFS($F$2:$F$51,N13,$Q$2:$Q$51,"Aprobada")&gt;0)),N13&amp;" ","")&amp;IF(NOT(OR(O13="",COUNTIF($F$2:$F$51,O13)=0,COUNTIFS($F$2:$F$51,O13,$Q$2:$Q$51,"Aprobada")&gt;0)),O13&amp;" ","")&amp;IF(NOT(OR(P13="",COUNTIF($F$2:$F$51,P13)=0,COUNTIFS($F$2:$F$51,P13,$Q$2:$Q$51,"Aprobada")&gt;0)),P13&amp;" ","")),IF(Q13="Cursada aprobada",TRIM(IF(NOT(OR(L13="",COUNTIF($F$2:$F$51,L13)=0,COUNTIFS($F$2:$F$51,L13,$Q$2:$Q$51,"Aprobada")&gt;0,AND(Resumen!$B$15="La cursada aprobada",COUNTIFS($F$2:$F$51,L13,$Q$2:$Q$51,"Cursada aprobada")&gt;0))),L13&amp;" ","")&amp;IF(NOT(OR(M13="",COUNTIF($F$2:$F$51,M13)=0,COUNTIFS($F$2:$F$51,M13,$Q$2:$Q$51,"Aprobada")&gt;0,AND(Resumen!$B$15="La cursada aprobada",COUNTIFS($F$2:$F$51,M13,$Q$2:$Q$51,"Cursada aprobada")&gt;0))),M13&amp;" ","")&amp;IF(NOT(OR(N13="",COUNTIF($F$2:$F$51,N13)=0,COUNTIFS($F$2:$F$51,N13,$Q$2:$Q$51,"Aprobada")&gt;0,AND(Resumen!$B$15="La cursada aprobada",COUNTIFS($F$2:$F$51,N13,$Q$2:$Q$51,"Cursada aprobada")&gt;0))),N13&amp;" ","")&amp;IF(NOT(OR(O13="",COUNTIF($F$2:$F$51,O13)=0,COUNTIFS($F$2:$F$51,O13,$Q$2:$Q$51,"Aprobada")&gt;0,AND(Resumen!$B$15="La cursada aprobada",COUNTIFS($F$2:$F$51,O13,$Q$2:$Q$51,"Cursada aprobada")&gt;0))),O13&amp;" ","")&amp;IF(NOT(OR(P13="",COUNTIF($F$2:$F$51,P13)=0,COUNTIFS($F$2:$F$51,P13,$Q$2:$Q$51,"Aprobada")&gt;0,AND(Resumen!$B$15="La cursada aprobada",COUNTIFS($F$2:$F$51,P13,$Q$2:$Q$51,"Cursada aprobada")&gt;0))),P13&amp;" ","")),""))</f>
        <v/>
      </c>
    </row>
    <row r="14" customFormat="false" ht="15" hidden="false" customHeight="false" outlineLevel="0" collapsed="false">
      <c r="A14" s="8" t="s">
        <v>58</v>
      </c>
      <c r="B14" s="8"/>
      <c r="C14" s="9" t="n">
        <v>2</v>
      </c>
      <c r="D14" s="9" t="n">
        <v>2</v>
      </c>
      <c r="E14" s="9" t="s">
        <v>65</v>
      </c>
      <c r="F14" s="9" t="n">
        <v>206</v>
      </c>
      <c r="G14" s="8" t="s">
        <v>150</v>
      </c>
      <c r="H14" s="9" t="s">
        <v>61</v>
      </c>
      <c r="I14" s="9" t="n">
        <v>6</v>
      </c>
      <c r="J14" s="9"/>
      <c r="K14" s="9" t="n">
        <v>96</v>
      </c>
      <c r="L14" s="9" t="n">
        <v>108</v>
      </c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cursada",IF(AND(OR(L14="",COUNTIF($F$2:$F$51,L14)=0,COUNTIFS($F$2:$F$51,L14,$Q$2:$Q$51,"Aprobada")&gt;0,AND(Resumen!$B$15="La cursada aprobada",COUNTIFS($F$2:$F$51,L14,$Q$2:$Q$51,"Cursada aprobada")&gt;0)),OR(M14="",COUNTIF($F$2:$F$51,M14)=0,COUNTIFS($F$2:$F$51,M14,$Q$2:$Q$51,"Aprobada")&gt;0,AND(Resumen!$B$15="La cursada aprobada",COUNTIFS($F$2:$F$51,M14,$Q$2:$Q$51,"Cursada aprobada")&gt;0)),OR(N14="",COUNTIF($F$2:$F$51,N14)=0,COUNTIFS($F$2:$F$51,N14,$Q$2:$Q$51,"Aprobada")&gt;0,AND(Resumen!$B$15="La cursada aprobada",COUNTIFS($F$2:$F$51,N14,$Q$2:$Q$51,"Cursada aprobada")&gt;0)),OR(O14="",COUNTIF($F$2:$F$51,O14)=0,COUNTIFS($F$2:$F$51,O14,$Q$2:$Q$51,"Aprobada")&gt;0,AND(Resumen!$B$15="La cursada aprobada",COUNTIFS($F$2:$F$51,O14,$Q$2:$Q$51,"Cursada aprobada")&gt;0)),OR(P14="",COUNTIF($F$2:$F$51,P14)=0,COUNTIFS($F$2:$F$51,P14,$Q$2:$Q$51,"Aprobada")&gt;0,AND(Resumen!$B$15="La cursada aprobada",COUNTIFS($F$2:$F$51,P14,$Q$2:$Q$51,"Cursada aprobada")&gt;0))),"Sí","No")))</f>
        <v>No</v>
      </c>
      <c r="S14" s="8" t="str">
        <f aca="false">TRIM(IF(NOT(OR(L14="",COUNTIF($F$2:$F$51,L14)=0,COUNTIFS($F$2:$F$51,L14,$Q$2:$Q$51,"Aprobada")&gt;0,AND(Resumen!$B$15="La cursada aprobada",COUNTIFS($F$2:$F$51,L14,$Q$2:$Q$51,"Cursada aprobada")&gt;0))),L14&amp;" ","")&amp;IF(NOT(OR(M14="",COUNTIF($F$2:$F$51,M14)=0,COUNTIFS($F$2:$F$51,M14,$Q$2:$Q$51,"Aprobada")&gt;0,AND(Resumen!$B$15="La cursada aprobada",COUNTIFS($F$2:$F$51,M14,$Q$2:$Q$51,"Cursada aprobada")&gt;0))),M14&amp;" ","")&amp;IF(NOT(OR(N14="",COUNTIF($F$2:$F$51,N14)=0,COUNTIFS($F$2:$F$51,N14,$Q$2:$Q$51,"Aprobada")&gt;0,AND(Resumen!$B$15="La cursada aprobada",COUNTIFS($F$2:$F$51,N14,$Q$2:$Q$51,"Cursada aprobada")&gt;0))),N14&amp;" ","")&amp;IF(NOT(OR(O14="",COUNTIF($F$2:$F$51,O14)=0,COUNTIFS($F$2:$F$51,O14,$Q$2:$Q$51,"Aprobada")&gt;0,AND(Resumen!$B$15="La cursada aprobada",COUNTIFS($F$2:$F$51,O14,$Q$2:$Q$51,"Cursada aprobada")&gt;0))),O14&amp;" ","")&amp;IF(NOT(OR(P14="",COUNTIF($F$2:$F$51,P14)=0,COUNTIFS($F$2:$F$51,P14,$Q$2:$Q$51,"Aprobada")&gt;0,AND(Resumen!$B$15="La cursada aprobada",COUNTIFS($F$2:$F$51,P14,$Q$2:$Q$51,"Cursada aprobada")&gt;0))),P14&amp;" ",""))</f>
        <v>108</v>
      </c>
      <c r="T14" s="9" t="str">
        <f aca="false">IF(Q14="Cursada aprobada",IF(AND(OR(L14="",COUNTIF($F$2:$F$51,L14)=0,COUNTIFS($F$2:$F$51,L14,$Q$2:$Q$51,"Aprobada")&gt;0),OR(M14="",COUNTIF($F$2:$F$51,M14)=0,COUNTIFS($F$2:$F$51,M14,$Q$2:$Q$51,"Aprobada")&gt;0),OR(N14="",COUNTIF($F$2:$F$51,N14)=0,COUNTIFS($F$2:$F$51,N14,$Q$2:$Q$51,"Aprobada")&gt;0),OR(O14="",COUNTIF($F$2:$F$51,O14)=0,COUNTIFS($F$2:$F$51,O14,$Q$2:$Q$51,"Aprobada")&gt;0),OR(P14="",COUNTIF($F$2:$F$51,P14)=0,COUNTIFS($F$2:$F$51,P14,$Q$2:$Q$51,"Aprobada")&gt;0)),"Sí","No"),"")</f>
        <v/>
      </c>
      <c r="U14" s="9" t="str">
        <f aca="false">IF(Q14="Aprobada",TRIM(IF(NOT(OR(L14="",COUNTIF($F$2:$F$51,L14)=0,COUNTIFS($F$2:$F$51,L14,$Q$2:$Q$51,"Aprobada")&gt;0)),L14&amp;" ","")&amp;IF(NOT(OR(M14="",COUNTIF($F$2:$F$51,M14)=0,COUNTIFS($F$2:$F$51,M14,$Q$2:$Q$51,"Aprobada")&gt;0)),M14&amp;" ","")&amp;IF(NOT(OR(N14="",COUNTIF($F$2:$F$51,N14)=0,COUNTIFS($F$2:$F$51,N14,$Q$2:$Q$51,"Aprobada")&gt;0)),N14&amp;" ","")&amp;IF(NOT(OR(O14="",COUNTIF($F$2:$F$51,O14)=0,COUNTIFS($F$2:$F$51,O14,$Q$2:$Q$51,"Aprobada")&gt;0)),O14&amp;" ","")&amp;IF(NOT(OR(P14="",COUNTIF($F$2:$F$51,P14)=0,COUNTIFS($F$2:$F$51,P14,$Q$2:$Q$51,"Aprobada")&gt;0)),P14&amp;" ","")),IF(Q14="Cursada aprobada",TRIM(IF(NOT(OR(L14="",COUNTIF($F$2:$F$51,L14)=0,COUNTIFS($F$2:$F$51,L14,$Q$2:$Q$51,"Aprobada")&gt;0,AND(Resumen!$B$15="La cursada aprobada",COUNTIFS($F$2:$F$51,L14,$Q$2:$Q$51,"Cursada aprobada")&gt;0))),L14&amp;" ","")&amp;IF(NOT(OR(M14="",COUNTIF($F$2:$F$51,M14)=0,COUNTIFS($F$2:$F$51,M14,$Q$2:$Q$51,"Aprobada")&gt;0,AND(Resumen!$B$15="La cursada aprobada",COUNTIFS($F$2:$F$51,M14,$Q$2:$Q$51,"Cursada aprobada")&gt;0))),M14&amp;" ","")&amp;IF(NOT(OR(N14="",COUNTIF($F$2:$F$51,N14)=0,COUNTIFS($F$2:$F$51,N14,$Q$2:$Q$51,"Aprobada")&gt;0,AND(Resumen!$B$15="La cursada aprobada",COUNTIFS($F$2:$F$51,N14,$Q$2:$Q$51,"Cursada aprobada")&gt;0))),N14&amp;" ","")&amp;IF(NOT(OR(O14="",COUNTIF($F$2:$F$51,O14)=0,COUNTIFS($F$2:$F$51,O14,$Q$2:$Q$51,"Aprobada")&gt;0,AND(Resumen!$B$15="La cursada aprobada",COUNTIFS($F$2:$F$51,O14,$Q$2:$Q$51,"Cursada aprobada")&gt;0))),O14&amp;" ","")&amp;IF(NOT(OR(P14="",COUNTIF($F$2:$F$51,P14)=0,COUNTIFS($F$2:$F$51,P14,$Q$2:$Q$51,"Aprobada")&gt;0,AND(Resumen!$B$15="La cursada aprobada",COUNTIFS($F$2:$F$51,P14,$Q$2:$Q$51,"Cursada aprobada")&gt;0))),P14&amp;" ","")),""))</f>
        <v/>
      </c>
    </row>
    <row r="15" customFormat="false" ht="15" hidden="false" customHeight="false" outlineLevel="0" collapsed="false">
      <c r="A15" s="8" t="s">
        <v>58</v>
      </c>
      <c r="B15" s="8"/>
      <c r="C15" s="9" t="n">
        <v>2</v>
      </c>
      <c r="D15" s="9" t="n">
        <v>2</v>
      </c>
      <c r="E15" s="9" t="s">
        <v>69</v>
      </c>
      <c r="F15" s="9" t="n">
        <v>218</v>
      </c>
      <c r="G15" s="8" t="s">
        <v>151</v>
      </c>
      <c r="H15" s="9" t="s">
        <v>71</v>
      </c>
      <c r="I15" s="9" t="n">
        <v>6</v>
      </c>
      <c r="J15" s="9"/>
      <c r="K15" s="9" t="n">
        <v>96</v>
      </c>
      <c r="L15" s="9"/>
      <c r="M15" s="9"/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cursada",IF(AND(OR(L15="",COUNTIF($F$2:$F$51,L15)=0,COUNTIFS($F$2:$F$51,L15,$Q$2:$Q$51,"Aprobada")&gt;0,AND(Resumen!$B$15="La cursada aprobada",COUNTIFS($F$2:$F$51,L15,$Q$2:$Q$51,"Cursada aprobada")&gt;0)),OR(M15="",COUNTIF($F$2:$F$51,M15)=0,COUNTIFS($F$2:$F$51,M15,$Q$2:$Q$51,"Aprobada")&gt;0,AND(Resumen!$B$15="La cursada aprobada",COUNTIFS($F$2:$F$51,M15,$Q$2:$Q$51,"Cursada aprobada")&gt;0)),OR(N15="",COUNTIF($F$2:$F$51,N15)=0,COUNTIFS($F$2:$F$51,N15,$Q$2:$Q$51,"Aprobada")&gt;0,AND(Resumen!$B$15="La cursada aprobada",COUNTIFS($F$2:$F$51,N15,$Q$2:$Q$51,"Cursada aprobada")&gt;0)),OR(O15="",COUNTIF($F$2:$F$51,O15)=0,COUNTIFS($F$2:$F$51,O15,$Q$2:$Q$51,"Aprobada")&gt;0,AND(Resumen!$B$15="La cursada aprobada",COUNTIFS($F$2:$F$51,O15,$Q$2:$Q$51,"Cursada aprobada")&gt;0)),OR(P15="",COUNTIF($F$2:$F$51,P15)=0,COUNTIFS($F$2:$F$51,P15,$Q$2:$Q$51,"Aprobada")&gt;0,AND(Resumen!$B$15="La cursada aprobada",COUNTIFS($F$2:$F$51,P15,$Q$2:$Q$51,"Cursada aprobada")&gt;0))),"Sí","No")))</f>
        <v>Sí</v>
      </c>
      <c r="S15" s="8" t="str">
        <f aca="false">TRIM(IF(NOT(OR(L15="",COUNTIF($F$2:$F$51,L15)=0,COUNTIFS($F$2:$F$51,L15,$Q$2:$Q$51,"Aprobada")&gt;0,AND(Resumen!$B$15="La cursada aprobada",COUNTIFS($F$2:$F$51,L15,$Q$2:$Q$51,"Cursada aprobada")&gt;0))),L15&amp;" ","")&amp;IF(NOT(OR(M15="",COUNTIF($F$2:$F$51,M15)=0,COUNTIFS($F$2:$F$51,M15,$Q$2:$Q$51,"Aprobada")&gt;0,AND(Resumen!$B$15="La cursada aprobada",COUNTIFS($F$2:$F$51,M15,$Q$2:$Q$51,"Cursada aprobada")&gt;0))),M15&amp;" ","")&amp;IF(NOT(OR(N15="",COUNTIF($F$2:$F$51,N15)=0,COUNTIFS($F$2:$F$51,N15,$Q$2:$Q$51,"Aprobada")&gt;0,AND(Resumen!$B$15="La cursada aprobada",COUNTIFS($F$2:$F$51,N15,$Q$2:$Q$51,"Cursada aprobada")&gt;0))),N15&amp;" ","")&amp;IF(NOT(OR(O15="",COUNTIF($F$2:$F$51,O15)=0,COUNTIFS($F$2:$F$51,O15,$Q$2:$Q$51,"Aprobada")&gt;0,AND(Resumen!$B$15="La cursada aprobada",COUNTIFS($F$2:$F$51,O15,$Q$2:$Q$51,"Cursada aprobada")&gt;0))),O15&amp;" ","")&amp;IF(NOT(OR(P15="",COUNTIF($F$2:$F$51,P15)=0,COUNTIFS($F$2:$F$51,P15,$Q$2:$Q$51,"Aprobada")&gt;0,AND(Resumen!$B$15="La cursada aprobada",COUNTIFS($F$2:$F$51,P15,$Q$2:$Q$51,"Cursada aprobada")&gt;0))),P15&amp;" ",""))</f>
        <v/>
      </c>
      <c r="T15" s="9" t="str">
        <f aca="false">IF(Q15="Cursada aprobada",IF(AND(OR(L15="",COUNTIF($F$2:$F$51,L15)=0,COUNTIFS($F$2:$F$51,L15,$Q$2:$Q$51,"Aprobada")&gt;0),OR(M15="",COUNTIF($F$2:$F$51,M15)=0,COUNTIFS($F$2:$F$51,M15,$Q$2:$Q$51,"Aprobada")&gt;0),OR(N15="",COUNTIF($F$2:$F$51,N15)=0,COUNTIFS($F$2:$F$51,N15,$Q$2:$Q$51,"Aprobada")&gt;0),OR(O15="",COUNTIF($F$2:$F$51,O15)=0,COUNTIFS($F$2:$F$51,O15,$Q$2:$Q$51,"Aprobada")&gt;0),OR(P15="",COUNTIF($F$2:$F$51,P15)=0,COUNTIFS($F$2:$F$51,P15,$Q$2:$Q$51,"Aprobada")&gt;0)),"Sí","No"),"")</f>
        <v/>
      </c>
      <c r="U15" s="9" t="str">
        <f aca="false">IF(Q15="Aprobada",TRIM(IF(NOT(OR(L15="",COUNTIF($F$2:$F$51,L15)=0,COUNTIFS($F$2:$F$51,L15,$Q$2:$Q$51,"Aprobada")&gt;0)),L15&amp;" ","")&amp;IF(NOT(OR(M15="",COUNTIF($F$2:$F$51,M15)=0,COUNTIFS($F$2:$F$51,M15,$Q$2:$Q$51,"Aprobada")&gt;0)),M15&amp;" ","")&amp;IF(NOT(OR(N15="",COUNTIF($F$2:$F$51,N15)=0,COUNTIFS($F$2:$F$51,N15,$Q$2:$Q$51,"Aprobada")&gt;0)),N15&amp;" ","")&amp;IF(NOT(OR(O15="",COUNTIF($F$2:$F$51,O15)=0,COUNTIFS($F$2:$F$51,O15,$Q$2:$Q$51,"Aprobada")&gt;0)),O15&amp;" ","")&amp;IF(NOT(OR(P15="",COUNTIF($F$2:$F$51,P15)=0,COUNTIFS($F$2:$F$51,P15,$Q$2:$Q$51,"Aprobada")&gt;0)),P15&amp;" ","")),IF(Q15="Cursada aprobada",TRIM(IF(NOT(OR(L15="",COUNTIF($F$2:$F$51,L15)=0,COUNTIFS($F$2:$F$51,L15,$Q$2:$Q$51,"Aprobada")&gt;0,AND(Resumen!$B$15="La cursada aprobada",COUNTIFS($F$2:$F$51,L15,$Q$2:$Q$51,"Cursada aprobada")&gt;0))),L15&amp;" ","")&amp;IF(NOT(OR(M15="",COUNTIF($F$2:$F$51,M15)=0,COUNTIFS($F$2:$F$51,M15,$Q$2:$Q$51,"Aprobada")&gt;0,AND(Resumen!$B$15="La cursada aprobada",COUNTIFS($F$2:$F$51,M15,$Q$2:$Q$51,"Cursada aprobada")&gt;0))),M15&amp;" ","")&amp;IF(NOT(OR(N15="",COUNTIF($F$2:$F$51,N15)=0,COUNTIFS($F$2:$F$51,N15,$Q$2:$Q$51,"Aprobada")&gt;0,AND(Resumen!$B$15="La cursada aprobada",COUNTIFS($F$2:$F$51,N15,$Q$2:$Q$51,"Cursada aprobada")&gt;0))),N15&amp;" ","")&amp;IF(NOT(OR(O15="",COUNTIF($F$2:$F$51,O15)=0,COUNTIFS($F$2:$F$51,O15,$Q$2:$Q$51,"Aprobada")&gt;0,AND(Resumen!$B$15="La cursada aprobada",COUNTIFS($F$2:$F$51,O15,$Q$2:$Q$51,"Cursada aprobada")&gt;0))),O15&amp;" ","")&amp;IF(NOT(OR(P15="",COUNTIF($F$2:$F$51,P15)=0,COUNTIFS($F$2:$F$51,P15,$Q$2:$Q$51,"Aprobada")&gt;0,AND(Resumen!$B$15="La cursada aprobada",COUNTIFS($F$2:$F$51,P15,$Q$2:$Q$51,"Cursada aprobada")&gt;0))),P15&amp;" ","")),""))</f>
        <v/>
      </c>
    </row>
    <row r="16" customFormat="false" ht="15" hidden="false" customHeight="false" outlineLevel="0" collapsed="false">
      <c r="A16" s="8" t="s">
        <v>58</v>
      </c>
      <c r="B16" s="8"/>
      <c r="C16" s="9" t="n">
        <v>3</v>
      </c>
      <c r="D16" s="9" t="n">
        <v>1</v>
      </c>
      <c r="E16" s="9" t="s">
        <v>99</v>
      </c>
      <c r="F16" s="9" t="n">
        <v>1003</v>
      </c>
      <c r="G16" s="8" t="s">
        <v>207</v>
      </c>
      <c r="H16" s="9"/>
      <c r="I16" s="9" t="n">
        <v>6</v>
      </c>
      <c r="J16" s="9"/>
      <c r="K16" s="9" t="n">
        <v>96</v>
      </c>
      <c r="L16" s="9" t="n">
        <v>1002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cursada",IF(AND(OR(L16="",COUNTIF($F$2:$F$51,L16)=0,COUNTIFS($F$2:$F$51,L16,$Q$2:$Q$51,"Aprobada")&gt;0,AND(Resumen!$B$15="La cursada aprobada",COUNTIFS($F$2:$F$51,L16,$Q$2:$Q$51,"Cursada aprobada")&gt;0)),OR(M16="",COUNTIF($F$2:$F$51,M16)=0,COUNTIFS($F$2:$F$51,M16,$Q$2:$Q$51,"Aprobada")&gt;0,AND(Resumen!$B$15="La cursada aprobada",COUNTIFS($F$2:$F$51,M16,$Q$2:$Q$51,"Cursada aprobada")&gt;0)),OR(N16="",COUNTIF($F$2:$F$51,N16)=0,COUNTIFS($F$2:$F$51,N16,$Q$2:$Q$51,"Aprobada")&gt;0,AND(Resumen!$B$15="La cursada aprobada",COUNTIFS($F$2:$F$51,N16,$Q$2:$Q$51,"Cursada aprobada")&gt;0)),OR(O16="",COUNTIF($F$2:$F$51,O16)=0,COUNTIFS($F$2:$F$51,O16,$Q$2:$Q$51,"Aprobada")&gt;0,AND(Resumen!$B$15="La cursada aprobada",COUNTIFS($F$2:$F$51,O16,$Q$2:$Q$51,"Cursada aprobada")&gt;0)),OR(P16="",COUNTIF($F$2:$F$51,P16)=0,COUNTIFS($F$2:$F$51,P16,$Q$2:$Q$51,"Aprobada")&gt;0,AND(Resumen!$B$15="La cursada aprobada",COUNTIFS($F$2:$F$51,P16,$Q$2:$Q$51,"Cursada aprobada")&gt;0))),"Sí","No")))</f>
        <v>No</v>
      </c>
      <c r="S16" s="8" t="str">
        <f aca="false">TRIM(IF(NOT(OR(L16="",COUNTIF($F$2:$F$51,L16)=0,COUNTIFS($F$2:$F$51,L16,$Q$2:$Q$51,"Aprobada")&gt;0,AND(Resumen!$B$15="La cursada aprobada",COUNTIFS($F$2:$F$51,L16,$Q$2:$Q$51,"Cursada aprobada")&gt;0))),L16&amp;" ","")&amp;IF(NOT(OR(M16="",COUNTIF($F$2:$F$51,M16)=0,COUNTIFS($F$2:$F$51,M16,$Q$2:$Q$51,"Aprobada")&gt;0,AND(Resumen!$B$15="La cursada aprobada",COUNTIFS($F$2:$F$51,M16,$Q$2:$Q$51,"Cursada aprobada")&gt;0))),M16&amp;" ","")&amp;IF(NOT(OR(N16="",COUNTIF($F$2:$F$51,N16)=0,COUNTIFS($F$2:$F$51,N16,$Q$2:$Q$51,"Aprobada")&gt;0,AND(Resumen!$B$15="La cursada aprobada",COUNTIFS($F$2:$F$51,N16,$Q$2:$Q$51,"Cursada aprobada")&gt;0))),N16&amp;" ","")&amp;IF(NOT(OR(O16="",COUNTIF($F$2:$F$51,O16)=0,COUNTIFS($F$2:$F$51,O16,$Q$2:$Q$51,"Aprobada")&gt;0,AND(Resumen!$B$15="La cursada aprobada",COUNTIFS($F$2:$F$51,O16,$Q$2:$Q$51,"Cursada aprobada")&gt;0))),O16&amp;" ","")&amp;IF(NOT(OR(P16="",COUNTIF($F$2:$F$51,P16)=0,COUNTIFS($F$2:$F$51,P16,$Q$2:$Q$51,"Aprobada")&gt;0,AND(Resumen!$B$15="La cursada aprobada",COUNTIFS($F$2:$F$51,P16,$Q$2:$Q$51,"Cursada aprobada")&gt;0))),P16&amp;" ",""))</f>
        <v>1002</v>
      </c>
      <c r="T16" s="9" t="str">
        <f aca="false">IF(Q16="Cursada aprobada",IF(AND(OR(L16="",COUNTIF($F$2:$F$51,L16)=0,COUNTIFS($F$2:$F$51,L16,$Q$2:$Q$51,"Aprobada")&gt;0),OR(M16="",COUNTIF($F$2:$F$51,M16)=0,COUNTIFS($F$2:$F$51,M16,$Q$2:$Q$51,"Aprobada")&gt;0),OR(N16="",COUNTIF($F$2:$F$51,N16)=0,COUNTIFS($F$2:$F$51,N16,$Q$2:$Q$51,"Aprobada")&gt;0),OR(O16="",COUNTIF($F$2:$F$51,O16)=0,COUNTIFS($F$2:$F$51,O16,$Q$2:$Q$51,"Aprobada")&gt;0),OR(P16="",COUNTIF($F$2:$F$51,P16)=0,COUNTIFS($F$2:$F$51,P16,$Q$2:$Q$51,"Aprobada")&gt;0)),"Sí","No"),"")</f>
        <v/>
      </c>
      <c r="U16" s="9" t="str">
        <f aca="false">IF(Q16="Aprobada",TRIM(IF(NOT(OR(L16="",COUNTIF($F$2:$F$51,L16)=0,COUNTIFS($F$2:$F$51,L16,$Q$2:$Q$51,"Aprobada")&gt;0)),L16&amp;" ","")&amp;IF(NOT(OR(M16="",COUNTIF($F$2:$F$51,M16)=0,COUNTIFS($F$2:$F$51,M16,$Q$2:$Q$51,"Aprobada")&gt;0)),M16&amp;" ","")&amp;IF(NOT(OR(N16="",COUNTIF($F$2:$F$51,N16)=0,COUNTIFS($F$2:$F$51,N16,$Q$2:$Q$51,"Aprobada")&gt;0)),N16&amp;" ","")&amp;IF(NOT(OR(O16="",COUNTIF($F$2:$F$51,O16)=0,COUNTIFS($F$2:$F$51,O16,$Q$2:$Q$51,"Aprobada")&gt;0)),O16&amp;" ","")&amp;IF(NOT(OR(P16="",COUNTIF($F$2:$F$51,P16)=0,COUNTIFS($F$2:$F$51,P16,$Q$2:$Q$51,"Aprobada")&gt;0)),P16&amp;" ","")),IF(Q16="Cursada aprobada",TRIM(IF(NOT(OR(L16="",COUNTIF($F$2:$F$51,L16)=0,COUNTIFS($F$2:$F$51,L16,$Q$2:$Q$51,"Aprobada")&gt;0,AND(Resumen!$B$15="La cursada aprobada",COUNTIFS($F$2:$F$51,L16,$Q$2:$Q$51,"Cursada aprobada")&gt;0))),L16&amp;" ","")&amp;IF(NOT(OR(M16="",COUNTIF($F$2:$F$51,M16)=0,COUNTIFS($F$2:$F$51,M16,$Q$2:$Q$51,"Aprobada")&gt;0,AND(Resumen!$B$15="La cursada aprobada",COUNTIFS($F$2:$F$51,M16,$Q$2:$Q$51,"Cursada aprobada")&gt;0))),M16&amp;" ","")&amp;IF(NOT(OR(N16="",COUNTIF($F$2:$F$51,N16)=0,COUNTIFS($F$2:$F$51,N16,$Q$2:$Q$51,"Aprobada")&gt;0,AND(Resumen!$B$15="La cursada aprobada",COUNTIFS($F$2:$F$51,N16,$Q$2:$Q$51,"Cursada aprobada")&gt;0))),N16&amp;" ","")&amp;IF(NOT(OR(O16="",COUNTIF($F$2:$F$51,O16)=0,COUNTIFS($F$2:$F$51,O16,$Q$2:$Q$51,"Aprobada")&gt;0,AND(Resumen!$B$15="La cursada aprobada",COUNTIFS($F$2:$F$51,O16,$Q$2:$Q$51,"Cursada aprobada")&gt;0))),O16&amp;" ","")&amp;IF(NOT(OR(P16="",COUNTIF($F$2:$F$51,P16)=0,COUNTIFS($F$2:$F$51,P16,$Q$2:$Q$51,"Aprobada")&gt;0,AND(Resumen!$B$15="La cursada aprobada",COUNTIFS($F$2:$F$51,P16,$Q$2:$Q$51,"Cursada aprobada")&gt;0))),P16&amp;" ","")),""))</f>
        <v/>
      </c>
    </row>
    <row r="17" customFormat="false" ht="15" hidden="false" customHeight="false" outlineLevel="0" collapsed="false">
      <c r="A17" s="8" t="s">
        <v>58</v>
      </c>
      <c r="B17" s="8"/>
      <c r="C17" s="9" t="n">
        <v>3</v>
      </c>
      <c r="D17" s="9" t="n">
        <v>1</v>
      </c>
      <c r="E17" s="9" t="s">
        <v>69</v>
      </c>
      <c r="F17" s="9" t="n">
        <v>356</v>
      </c>
      <c r="G17" s="8" t="s">
        <v>153</v>
      </c>
      <c r="H17" s="9" t="s">
        <v>92</v>
      </c>
      <c r="I17" s="9" t="n">
        <v>4</v>
      </c>
      <c r="J17" s="9"/>
      <c r="K17" s="9" t="n">
        <v>64</v>
      </c>
      <c r="L17" s="9"/>
      <c r="M17" s="9"/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cursada",IF(AND(OR(L17="",COUNTIF($F$2:$F$51,L17)=0,COUNTIFS($F$2:$F$51,L17,$Q$2:$Q$51,"Aprobada")&gt;0,AND(Resumen!$B$15="La cursada aprobada",COUNTIFS($F$2:$F$51,L17,$Q$2:$Q$51,"Cursada aprobada")&gt;0)),OR(M17="",COUNTIF($F$2:$F$51,M17)=0,COUNTIFS($F$2:$F$51,M17,$Q$2:$Q$51,"Aprobada")&gt;0,AND(Resumen!$B$15="La cursada aprobada",COUNTIFS($F$2:$F$51,M17,$Q$2:$Q$51,"Cursada aprobada")&gt;0)),OR(N17="",COUNTIF($F$2:$F$51,N17)=0,COUNTIFS($F$2:$F$51,N17,$Q$2:$Q$51,"Aprobada")&gt;0,AND(Resumen!$B$15="La cursada aprobada",COUNTIFS($F$2:$F$51,N17,$Q$2:$Q$51,"Cursada aprobada")&gt;0)),OR(O17="",COUNTIF($F$2:$F$51,O17)=0,COUNTIFS($F$2:$F$51,O17,$Q$2:$Q$51,"Aprobada")&gt;0,AND(Resumen!$B$15="La cursada aprobada",COUNTIFS($F$2:$F$51,O17,$Q$2:$Q$51,"Cursada aprobada")&gt;0)),OR(P17="",COUNTIF($F$2:$F$51,P17)=0,COUNTIFS($F$2:$F$51,P17,$Q$2:$Q$51,"Aprobada")&gt;0,AND(Resumen!$B$15="La cursada aprobada",COUNTIFS($F$2:$F$51,P17,$Q$2:$Q$51,"Cursada aprobada")&gt;0))),"Sí","No")))</f>
        <v>Sí</v>
      </c>
      <c r="S17" s="8" t="str">
        <f aca="false">TRIM(IF(NOT(OR(L17="",COUNTIF($F$2:$F$51,L17)=0,COUNTIFS($F$2:$F$51,L17,$Q$2:$Q$51,"Aprobada")&gt;0,AND(Resumen!$B$15="La cursada aprobada",COUNTIFS($F$2:$F$51,L17,$Q$2:$Q$51,"Cursada aprobada")&gt;0))),L17&amp;" ","")&amp;IF(NOT(OR(M17="",COUNTIF($F$2:$F$51,M17)=0,COUNTIFS($F$2:$F$51,M17,$Q$2:$Q$51,"Aprobada")&gt;0,AND(Resumen!$B$15="La cursada aprobada",COUNTIFS($F$2:$F$51,M17,$Q$2:$Q$51,"Cursada aprobada")&gt;0))),M17&amp;" ","")&amp;IF(NOT(OR(N17="",COUNTIF($F$2:$F$51,N17)=0,COUNTIFS($F$2:$F$51,N17,$Q$2:$Q$51,"Aprobada")&gt;0,AND(Resumen!$B$15="La cursada aprobada",COUNTIFS($F$2:$F$51,N17,$Q$2:$Q$51,"Cursada aprobada")&gt;0))),N17&amp;" ","")&amp;IF(NOT(OR(O17="",COUNTIF($F$2:$F$51,O17)=0,COUNTIFS($F$2:$F$51,O17,$Q$2:$Q$51,"Aprobada")&gt;0,AND(Resumen!$B$15="La cursada aprobada",COUNTIFS($F$2:$F$51,O17,$Q$2:$Q$51,"Cursada aprobada")&gt;0))),O17&amp;" ","")&amp;IF(NOT(OR(P17="",COUNTIF($F$2:$F$51,P17)=0,COUNTIFS($F$2:$F$51,P17,$Q$2:$Q$51,"Aprobada")&gt;0,AND(Resumen!$B$15="La cursada aprobada",COUNTIFS($F$2:$F$51,P17,$Q$2:$Q$51,"Cursada aprobada")&gt;0))),P17&amp;" ",""))</f>
        <v/>
      </c>
      <c r="T17" s="9" t="str">
        <f aca="false">IF(Q17="Cursada aprobada",IF(AND(OR(L17="",COUNTIF($F$2:$F$51,L17)=0,COUNTIFS($F$2:$F$51,L17,$Q$2:$Q$51,"Aprobada")&gt;0),OR(M17="",COUNTIF($F$2:$F$51,M17)=0,COUNTIFS($F$2:$F$51,M17,$Q$2:$Q$51,"Aprobada")&gt;0),OR(N17="",COUNTIF($F$2:$F$51,N17)=0,COUNTIFS($F$2:$F$51,N17,$Q$2:$Q$51,"Aprobada")&gt;0),OR(O17="",COUNTIF($F$2:$F$51,O17)=0,COUNTIFS($F$2:$F$51,O17,$Q$2:$Q$51,"Aprobada")&gt;0),OR(P17="",COUNTIF($F$2:$F$51,P17)=0,COUNTIFS($F$2:$F$51,P17,$Q$2:$Q$51,"Aprobada")&gt;0)),"Sí","No"),"")</f>
        <v/>
      </c>
      <c r="U17" s="9" t="str">
        <f aca="false">IF(Q17="Aprobada",TRIM(IF(NOT(OR(L17="",COUNTIF($F$2:$F$51,L17)=0,COUNTIFS($F$2:$F$51,L17,$Q$2:$Q$51,"Aprobada")&gt;0)),L17&amp;" ","")&amp;IF(NOT(OR(M17="",COUNTIF($F$2:$F$51,M17)=0,COUNTIFS($F$2:$F$51,M17,$Q$2:$Q$51,"Aprobada")&gt;0)),M17&amp;" ","")&amp;IF(NOT(OR(N17="",COUNTIF($F$2:$F$51,N17)=0,COUNTIFS($F$2:$F$51,N17,$Q$2:$Q$51,"Aprobada")&gt;0)),N17&amp;" ","")&amp;IF(NOT(OR(O17="",COUNTIF($F$2:$F$51,O17)=0,COUNTIFS($F$2:$F$51,O17,$Q$2:$Q$51,"Aprobada")&gt;0)),O17&amp;" ","")&amp;IF(NOT(OR(P17="",COUNTIF($F$2:$F$51,P17)=0,COUNTIFS($F$2:$F$51,P17,$Q$2:$Q$51,"Aprobada")&gt;0)),P17&amp;" ","")),IF(Q17="Cursada aprobada",TRIM(IF(NOT(OR(L17="",COUNTIF($F$2:$F$51,L17)=0,COUNTIFS($F$2:$F$51,L17,$Q$2:$Q$51,"Aprobada")&gt;0,AND(Resumen!$B$15="La cursada aprobada",COUNTIFS($F$2:$F$51,L17,$Q$2:$Q$51,"Cursada aprobada")&gt;0))),L17&amp;" ","")&amp;IF(NOT(OR(M17="",COUNTIF($F$2:$F$51,M17)=0,COUNTIFS($F$2:$F$51,M17,$Q$2:$Q$51,"Aprobada")&gt;0,AND(Resumen!$B$15="La cursada aprobada",COUNTIFS($F$2:$F$51,M17,$Q$2:$Q$51,"Cursada aprobada")&gt;0))),M17&amp;" ","")&amp;IF(NOT(OR(N17="",COUNTIF($F$2:$F$51,N17)=0,COUNTIFS($F$2:$F$51,N17,$Q$2:$Q$51,"Aprobada")&gt;0,AND(Resumen!$B$15="La cursada aprobada",COUNTIFS($F$2:$F$51,N17,$Q$2:$Q$51,"Cursada aprobada")&gt;0))),N17&amp;" ","")&amp;IF(NOT(OR(O17="",COUNTIF($F$2:$F$51,O17)=0,COUNTIFS($F$2:$F$51,O17,$Q$2:$Q$51,"Aprobada")&gt;0,AND(Resumen!$B$15="La cursada aprobada",COUNTIFS($F$2:$F$51,O17,$Q$2:$Q$51,"Cursada aprobada")&gt;0))),O17&amp;" ","")&amp;IF(NOT(OR(P17="",COUNTIF($F$2:$F$51,P17)=0,COUNTIFS($F$2:$F$51,P17,$Q$2:$Q$51,"Aprobada")&gt;0,AND(Resumen!$B$15="La cursada aprobada",COUNTIFS($F$2:$F$51,P17,$Q$2:$Q$51,"Cursada aprobada")&gt;0))),P17&amp;" ","")),""))</f>
        <v/>
      </c>
    </row>
    <row r="18" customFormat="false" ht="15" hidden="false" customHeight="false" outlineLevel="0" collapsed="false">
      <c r="A18" s="8" t="s">
        <v>58</v>
      </c>
      <c r="B18" s="8"/>
      <c r="C18" s="9" t="n">
        <v>3</v>
      </c>
      <c r="D18" s="9" t="n">
        <v>1</v>
      </c>
      <c r="E18" s="9" t="s">
        <v>99</v>
      </c>
      <c r="F18" s="9" t="n">
        <v>1004</v>
      </c>
      <c r="G18" s="8" t="s">
        <v>208</v>
      </c>
      <c r="H18" s="9"/>
      <c r="I18" s="9" t="n">
        <v>6</v>
      </c>
      <c r="J18" s="9"/>
      <c r="K18" s="9" t="n">
        <v>96</v>
      </c>
      <c r="L18" s="9"/>
      <c r="M18" s="9"/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cursada",IF(AND(OR(L18="",COUNTIF($F$2:$F$51,L18)=0,COUNTIFS($F$2:$F$51,L18,$Q$2:$Q$51,"Aprobada")&gt;0,AND(Resumen!$B$15="La cursada aprobada",COUNTIFS($F$2:$F$51,L18,$Q$2:$Q$51,"Cursada aprobada")&gt;0)),OR(M18="",COUNTIF($F$2:$F$51,M18)=0,COUNTIFS($F$2:$F$51,M18,$Q$2:$Q$51,"Aprobada")&gt;0,AND(Resumen!$B$15="La cursada aprobada",COUNTIFS($F$2:$F$51,M18,$Q$2:$Q$51,"Cursada aprobada")&gt;0)),OR(N18="",COUNTIF($F$2:$F$51,N18)=0,COUNTIFS($F$2:$F$51,N18,$Q$2:$Q$51,"Aprobada")&gt;0,AND(Resumen!$B$15="La cursada aprobada",COUNTIFS($F$2:$F$51,N18,$Q$2:$Q$51,"Cursada aprobada")&gt;0)),OR(O18="",COUNTIF($F$2:$F$51,O18)=0,COUNTIFS($F$2:$F$51,O18,$Q$2:$Q$51,"Aprobada")&gt;0,AND(Resumen!$B$15="La cursada aprobada",COUNTIFS($F$2:$F$51,O18,$Q$2:$Q$51,"Cursada aprobada")&gt;0)),OR(P18="",COUNTIF($F$2:$F$51,P18)=0,COUNTIFS($F$2:$F$51,P18,$Q$2:$Q$51,"Aprobada")&gt;0,AND(Resumen!$B$15="La cursada aprobada",COUNTIFS($F$2:$F$51,P18,$Q$2:$Q$51,"Cursada aprobada")&gt;0))),"Sí","No")))</f>
        <v>Sí</v>
      </c>
      <c r="S18" s="8" t="str">
        <f aca="false">TRIM(IF(NOT(OR(L18="",COUNTIF($F$2:$F$51,L18)=0,COUNTIFS($F$2:$F$51,L18,$Q$2:$Q$51,"Aprobada")&gt;0,AND(Resumen!$B$15="La cursada aprobada",COUNTIFS($F$2:$F$51,L18,$Q$2:$Q$51,"Cursada aprobada")&gt;0))),L18&amp;" ","")&amp;IF(NOT(OR(M18="",COUNTIF($F$2:$F$51,M18)=0,COUNTIFS($F$2:$F$51,M18,$Q$2:$Q$51,"Aprobada")&gt;0,AND(Resumen!$B$15="La cursada aprobada",COUNTIFS($F$2:$F$51,M18,$Q$2:$Q$51,"Cursada aprobada")&gt;0))),M18&amp;" ","")&amp;IF(NOT(OR(N18="",COUNTIF($F$2:$F$51,N18)=0,COUNTIFS($F$2:$F$51,N18,$Q$2:$Q$51,"Aprobada")&gt;0,AND(Resumen!$B$15="La cursada aprobada",COUNTIFS($F$2:$F$51,N18,$Q$2:$Q$51,"Cursada aprobada")&gt;0))),N18&amp;" ","")&amp;IF(NOT(OR(O18="",COUNTIF($F$2:$F$51,O18)=0,COUNTIFS($F$2:$F$51,O18,$Q$2:$Q$51,"Aprobada")&gt;0,AND(Resumen!$B$15="La cursada aprobada",COUNTIFS($F$2:$F$51,O18,$Q$2:$Q$51,"Cursada aprobada")&gt;0))),O18&amp;" ","")&amp;IF(NOT(OR(P18="",COUNTIF($F$2:$F$51,P18)=0,COUNTIFS($F$2:$F$51,P18,$Q$2:$Q$51,"Aprobada")&gt;0,AND(Resumen!$B$15="La cursada aprobada",COUNTIFS($F$2:$F$51,P18,$Q$2:$Q$51,"Cursada aprobada")&gt;0))),P18&amp;" ",""))</f>
        <v/>
      </c>
      <c r="T18" s="9" t="str">
        <f aca="false">IF(Q18="Cursada aprobada",IF(AND(OR(L18="",COUNTIF($F$2:$F$51,L18)=0,COUNTIFS($F$2:$F$51,L18,$Q$2:$Q$51,"Aprobada")&gt;0),OR(M18="",COUNTIF($F$2:$F$51,M18)=0,COUNTIFS($F$2:$F$51,M18,$Q$2:$Q$51,"Aprobada")&gt;0),OR(N18="",COUNTIF($F$2:$F$51,N18)=0,COUNTIFS($F$2:$F$51,N18,$Q$2:$Q$51,"Aprobada")&gt;0),OR(O18="",COUNTIF($F$2:$F$51,O18)=0,COUNTIFS($F$2:$F$51,O18,$Q$2:$Q$51,"Aprobada")&gt;0),OR(P18="",COUNTIF($F$2:$F$51,P18)=0,COUNTIFS($F$2:$F$51,P18,$Q$2:$Q$51,"Aprobada")&gt;0)),"Sí","No"),"")</f>
        <v/>
      </c>
      <c r="U18" s="9" t="str">
        <f aca="false">IF(Q18="Aprobada",TRIM(IF(NOT(OR(L18="",COUNTIF($F$2:$F$51,L18)=0,COUNTIFS($F$2:$F$51,L18,$Q$2:$Q$51,"Aprobada")&gt;0)),L18&amp;" ","")&amp;IF(NOT(OR(M18="",COUNTIF($F$2:$F$51,M18)=0,COUNTIFS($F$2:$F$51,M18,$Q$2:$Q$51,"Aprobada")&gt;0)),M18&amp;" ","")&amp;IF(NOT(OR(N18="",COUNTIF($F$2:$F$51,N18)=0,COUNTIFS($F$2:$F$51,N18,$Q$2:$Q$51,"Aprobada")&gt;0)),N18&amp;" ","")&amp;IF(NOT(OR(O18="",COUNTIF($F$2:$F$51,O18)=0,COUNTIFS($F$2:$F$51,O18,$Q$2:$Q$51,"Aprobada")&gt;0)),O18&amp;" ","")&amp;IF(NOT(OR(P18="",COUNTIF($F$2:$F$51,P18)=0,COUNTIFS($F$2:$F$51,P18,$Q$2:$Q$51,"Aprobada")&gt;0)),P18&amp;" ","")),IF(Q18="Cursada aprobada",TRIM(IF(NOT(OR(L18="",COUNTIF($F$2:$F$51,L18)=0,COUNTIFS($F$2:$F$51,L18,$Q$2:$Q$51,"Aprobada")&gt;0,AND(Resumen!$B$15="La cursada aprobada",COUNTIFS($F$2:$F$51,L18,$Q$2:$Q$51,"Cursada aprobada")&gt;0))),L18&amp;" ","")&amp;IF(NOT(OR(M18="",COUNTIF($F$2:$F$51,M18)=0,COUNTIFS($F$2:$F$51,M18,$Q$2:$Q$51,"Aprobada")&gt;0,AND(Resumen!$B$15="La cursada aprobada",COUNTIFS($F$2:$F$51,M18,$Q$2:$Q$51,"Cursada aprobada")&gt;0))),M18&amp;" ","")&amp;IF(NOT(OR(N18="",COUNTIF($F$2:$F$51,N18)=0,COUNTIFS($F$2:$F$51,N18,$Q$2:$Q$51,"Aprobada")&gt;0,AND(Resumen!$B$15="La cursada aprobada",COUNTIFS($F$2:$F$51,N18,$Q$2:$Q$51,"Cursada aprobada")&gt;0))),N18&amp;" ","")&amp;IF(NOT(OR(O18="",COUNTIF($F$2:$F$51,O18)=0,COUNTIFS($F$2:$F$51,O18,$Q$2:$Q$51,"Aprobada")&gt;0,AND(Resumen!$B$15="La cursada aprobada",COUNTIFS($F$2:$F$51,O18,$Q$2:$Q$51,"Cursada aprobada")&gt;0))),O18&amp;" ","")&amp;IF(NOT(OR(P18="",COUNTIF($F$2:$F$51,P18)=0,COUNTIFS($F$2:$F$51,P18,$Q$2:$Q$51,"Aprobada")&gt;0,AND(Resumen!$B$15="La cursada aprobada",COUNTIFS($F$2:$F$51,P18,$Q$2:$Q$51,"Cursada aprobada")&gt;0))),P18&amp;" ","")),""))</f>
        <v/>
      </c>
    </row>
    <row r="19" customFormat="false" ht="15" hidden="false" customHeight="false" outlineLevel="0" collapsed="false">
      <c r="A19" s="8" t="s">
        <v>58</v>
      </c>
      <c r="B19" s="8"/>
      <c r="C19" s="9" t="n">
        <v>3</v>
      </c>
      <c r="D19" s="9" t="n">
        <v>1</v>
      </c>
      <c r="E19" s="9" t="s">
        <v>63</v>
      </c>
      <c r="F19" s="9" t="n">
        <v>308</v>
      </c>
      <c r="G19" s="8" t="s">
        <v>75</v>
      </c>
      <c r="H19" s="9" t="s">
        <v>61</v>
      </c>
      <c r="I19" s="9" t="n">
        <v>6</v>
      </c>
      <c r="J19" s="9"/>
      <c r="K19" s="9" t="n">
        <v>96</v>
      </c>
      <c r="L19" s="9" t="n">
        <v>104</v>
      </c>
      <c r="M19" s="9"/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cursada",IF(AND(OR(L19="",COUNTIF($F$2:$F$51,L19)=0,COUNTIFS($F$2:$F$51,L19,$Q$2:$Q$51,"Aprobada")&gt;0,AND(Resumen!$B$15="La cursada aprobada",COUNTIFS($F$2:$F$51,L19,$Q$2:$Q$51,"Cursada aprobada")&gt;0)),OR(M19="",COUNTIF($F$2:$F$51,M19)=0,COUNTIFS($F$2:$F$51,M19,$Q$2:$Q$51,"Aprobada")&gt;0,AND(Resumen!$B$15="La cursada aprobada",COUNTIFS($F$2:$F$51,M19,$Q$2:$Q$51,"Cursada aprobada")&gt;0)),OR(N19="",COUNTIF($F$2:$F$51,N19)=0,COUNTIFS($F$2:$F$51,N19,$Q$2:$Q$51,"Aprobada")&gt;0,AND(Resumen!$B$15="La cursada aprobada",COUNTIFS($F$2:$F$51,N19,$Q$2:$Q$51,"Cursada aprobada")&gt;0)),OR(O19="",COUNTIF($F$2:$F$51,O19)=0,COUNTIFS($F$2:$F$51,O19,$Q$2:$Q$51,"Aprobada")&gt;0,AND(Resumen!$B$15="La cursada aprobada",COUNTIFS($F$2:$F$51,O19,$Q$2:$Q$51,"Cursada aprobada")&gt;0)),OR(P19="",COUNTIF($F$2:$F$51,P19)=0,COUNTIFS($F$2:$F$51,P19,$Q$2:$Q$51,"Aprobada")&gt;0,AND(Resumen!$B$15="La cursada aprobada",COUNTIFS($F$2:$F$51,P19,$Q$2:$Q$51,"Cursada aprobada")&gt;0))),"Sí","No")))</f>
        <v>No</v>
      </c>
      <c r="S19" s="8" t="str">
        <f aca="false">TRIM(IF(NOT(OR(L19="",COUNTIF($F$2:$F$51,L19)=0,COUNTIFS($F$2:$F$51,L19,$Q$2:$Q$51,"Aprobada")&gt;0,AND(Resumen!$B$15="La cursada aprobada",COUNTIFS($F$2:$F$51,L19,$Q$2:$Q$51,"Cursada aprobada")&gt;0))),L19&amp;" ","")&amp;IF(NOT(OR(M19="",COUNTIF($F$2:$F$51,M19)=0,COUNTIFS($F$2:$F$51,M19,$Q$2:$Q$51,"Aprobada")&gt;0,AND(Resumen!$B$15="La cursada aprobada",COUNTIFS($F$2:$F$51,M19,$Q$2:$Q$51,"Cursada aprobada")&gt;0))),M19&amp;" ","")&amp;IF(NOT(OR(N19="",COUNTIF($F$2:$F$51,N19)=0,COUNTIFS($F$2:$F$51,N19,$Q$2:$Q$51,"Aprobada")&gt;0,AND(Resumen!$B$15="La cursada aprobada",COUNTIFS($F$2:$F$51,N19,$Q$2:$Q$51,"Cursada aprobada")&gt;0))),N19&amp;" ","")&amp;IF(NOT(OR(O19="",COUNTIF($F$2:$F$51,O19)=0,COUNTIFS($F$2:$F$51,O19,$Q$2:$Q$51,"Aprobada")&gt;0,AND(Resumen!$B$15="La cursada aprobada",COUNTIFS($F$2:$F$51,O19,$Q$2:$Q$51,"Cursada aprobada")&gt;0))),O19&amp;" ","")&amp;IF(NOT(OR(P19="",COUNTIF($F$2:$F$51,P19)=0,COUNTIFS($F$2:$F$51,P19,$Q$2:$Q$51,"Aprobada")&gt;0,AND(Resumen!$B$15="La cursada aprobada",COUNTIFS($F$2:$F$51,P19,$Q$2:$Q$51,"Cursada aprobada")&gt;0))),P19&amp;" ",""))</f>
        <v>104</v>
      </c>
      <c r="T19" s="9" t="str">
        <f aca="false">IF(Q19="Cursada aprobada",IF(AND(OR(L19="",COUNTIF($F$2:$F$51,L19)=0,COUNTIFS($F$2:$F$51,L19,$Q$2:$Q$51,"Aprobada")&gt;0),OR(M19="",COUNTIF($F$2:$F$51,M19)=0,COUNTIFS($F$2:$F$51,M19,$Q$2:$Q$51,"Aprobada")&gt;0),OR(N19="",COUNTIF($F$2:$F$51,N19)=0,COUNTIFS($F$2:$F$51,N19,$Q$2:$Q$51,"Aprobada")&gt;0),OR(O19="",COUNTIF($F$2:$F$51,O19)=0,COUNTIFS($F$2:$F$51,O19,$Q$2:$Q$51,"Aprobada")&gt;0),OR(P19="",COUNTIF($F$2:$F$51,P19)=0,COUNTIFS($F$2:$F$51,P19,$Q$2:$Q$51,"Aprobada")&gt;0)),"Sí","No"),"")</f>
        <v/>
      </c>
      <c r="U19" s="9" t="str">
        <f aca="false">IF(Q19="Aprobada",TRIM(IF(NOT(OR(L19="",COUNTIF($F$2:$F$51,L19)=0,COUNTIFS($F$2:$F$51,L19,$Q$2:$Q$51,"Aprobada")&gt;0)),L19&amp;" ","")&amp;IF(NOT(OR(M19="",COUNTIF($F$2:$F$51,M19)=0,COUNTIFS($F$2:$F$51,M19,$Q$2:$Q$51,"Aprobada")&gt;0)),M19&amp;" ","")&amp;IF(NOT(OR(N19="",COUNTIF($F$2:$F$51,N19)=0,COUNTIFS($F$2:$F$51,N19,$Q$2:$Q$51,"Aprobada")&gt;0)),N19&amp;" ","")&amp;IF(NOT(OR(O19="",COUNTIF($F$2:$F$51,O19)=0,COUNTIFS($F$2:$F$51,O19,$Q$2:$Q$51,"Aprobada")&gt;0)),O19&amp;" ","")&amp;IF(NOT(OR(P19="",COUNTIF($F$2:$F$51,P19)=0,COUNTIFS($F$2:$F$51,P19,$Q$2:$Q$51,"Aprobada")&gt;0)),P19&amp;" ","")),IF(Q19="Cursada aprobada",TRIM(IF(NOT(OR(L19="",COUNTIF($F$2:$F$51,L19)=0,COUNTIFS($F$2:$F$51,L19,$Q$2:$Q$51,"Aprobada")&gt;0,AND(Resumen!$B$15="La cursada aprobada",COUNTIFS($F$2:$F$51,L19,$Q$2:$Q$51,"Cursada aprobada")&gt;0))),L19&amp;" ","")&amp;IF(NOT(OR(M19="",COUNTIF($F$2:$F$51,M19)=0,COUNTIFS($F$2:$F$51,M19,$Q$2:$Q$51,"Aprobada")&gt;0,AND(Resumen!$B$15="La cursada aprobada",COUNTIFS($F$2:$F$51,M19,$Q$2:$Q$51,"Cursada aprobada")&gt;0))),M19&amp;" ","")&amp;IF(NOT(OR(N19="",COUNTIF($F$2:$F$51,N19)=0,COUNTIFS($F$2:$F$51,N19,$Q$2:$Q$51,"Aprobada")&gt;0,AND(Resumen!$B$15="La cursada aprobada",COUNTIFS($F$2:$F$51,N19,$Q$2:$Q$51,"Cursada aprobada")&gt;0))),N19&amp;" ","")&amp;IF(NOT(OR(O19="",COUNTIF($F$2:$F$51,O19)=0,COUNTIFS($F$2:$F$51,O19,$Q$2:$Q$51,"Aprobada")&gt;0,AND(Resumen!$B$15="La cursada aprobada",COUNTIFS($F$2:$F$51,O19,$Q$2:$Q$51,"Cursada aprobada")&gt;0))),O19&amp;" ","")&amp;IF(NOT(OR(P19="",COUNTIF($F$2:$F$51,P19)=0,COUNTIFS($F$2:$F$51,P19,$Q$2:$Q$51,"Aprobada")&gt;0,AND(Resumen!$B$15="La cursada aprobada",COUNTIFS($F$2:$F$51,P19,$Q$2:$Q$51,"Cursada aprobada")&gt;0))),P19&amp;" ","")),""))</f>
        <v/>
      </c>
    </row>
    <row r="20" customFormat="false" ht="15" hidden="false" customHeight="false" outlineLevel="0" collapsed="false">
      <c r="A20" s="8" t="s">
        <v>209</v>
      </c>
      <c r="B20" s="8"/>
      <c r="C20" s="9" t="n">
        <v>3</v>
      </c>
      <c r="D20" s="9" t="n">
        <v>2</v>
      </c>
      <c r="E20" s="9" t="s">
        <v>99</v>
      </c>
      <c r="F20" s="9" t="n">
        <v>1005</v>
      </c>
      <c r="G20" s="8" t="s">
        <v>210</v>
      </c>
      <c r="H20" s="9"/>
      <c r="I20" s="9" t="n">
        <v>10</v>
      </c>
      <c r="J20" s="9"/>
      <c r="K20" s="9" t="n">
        <v>160</v>
      </c>
      <c r="L20" s="9" t="n">
        <v>1003</v>
      </c>
      <c r="M20" s="9"/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cursada",IF(AND(OR(L20="",COUNTIF($F$2:$F$51,L20)=0,COUNTIFS($F$2:$F$51,L20,$Q$2:$Q$51,"Aprobada")&gt;0,AND(Resumen!$B$15="La cursada aprobada",COUNTIFS($F$2:$F$51,L20,$Q$2:$Q$51,"Cursada aprobada")&gt;0)),OR(M20="",COUNTIF($F$2:$F$51,M20)=0,COUNTIFS($F$2:$F$51,M20,$Q$2:$Q$51,"Aprobada")&gt;0,AND(Resumen!$B$15="La cursada aprobada",COUNTIFS($F$2:$F$51,M20,$Q$2:$Q$51,"Cursada aprobada")&gt;0)),OR(N20="",COUNTIF($F$2:$F$51,N20)=0,COUNTIFS($F$2:$F$51,N20,$Q$2:$Q$51,"Aprobada")&gt;0,AND(Resumen!$B$15="La cursada aprobada",COUNTIFS($F$2:$F$51,N20,$Q$2:$Q$51,"Cursada aprobada")&gt;0)),OR(O20="",COUNTIF($F$2:$F$51,O20)=0,COUNTIFS($F$2:$F$51,O20,$Q$2:$Q$51,"Aprobada")&gt;0,AND(Resumen!$B$15="La cursada aprobada",COUNTIFS($F$2:$F$51,O20,$Q$2:$Q$51,"Cursada aprobada")&gt;0)),OR(P20="",COUNTIF($F$2:$F$51,P20)=0,COUNTIFS($F$2:$F$51,P20,$Q$2:$Q$51,"Aprobada")&gt;0,AND(Resumen!$B$15="La cursada aprobada",COUNTIFS($F$2:$F$51,P20,$Q$2:$Q$51,"Cursada aprobada")&gt;0))),"Sí","No")))</f>
        <v>No</v>
      </c>
      <c r="S20" s="8" t="str">
        <f aca="false">TRIM(IF(NOT(OR(L20="",COUNTIF($F$2:$F$51,L20)=0,COUNTIFS($F$2:$F$51,L20,$Q$2:$Q$51,"Aprobada")&gt;0,AND(Resumen!$B$15="La cursada aprobada",COUNTIFS($F$2:$F$51,L20,$Q$2:$Q$51,"Cursada aprobada")&gt;0))),L20&amp;" ","")&amp;IF(NOT(OR(M20="",COUNTIF($F$2:$F$51,M20)=0,COUNTIFS($F$2:$F$51,M20,$Q$2:$Q$51,"Aprobada")&gt;0,AND(Resumen!$B$15="La cursada aprobada",COUNTIFS($F$2:$F$51,M20,$Q$2:$Q$51,"Cursada aprobada")&gt;0))),M20&amp;" ","")&amp;IF(NOT(OR(N20="",COUNTIF($F$2:$F$51,N20)=0,COUNTIFS($F$2:$F$51,N20,$Q$2:$Q$51,"Aprobada")&gt;0,AND(Resumen!$B$15="La cursada aprobada",COUNTIFS($F$2:$F$51,N20,$Q$2:$Q$51,"Cursada aprobada")&gt;0))),N20&amp;" ","")&amp;IF(NOT(OR(O20="",COUNTIF($F$2:$F$51,O20)=0,COUNTIFS($F$2:$F$51,O20,$Q$2:$Q$51,"Aprobada")&gt;0,AND(Resumen!$B$15="La cursada aprobada",COUNTIFS($F$2:$F$51,O20,$Q$2:$Q$51,"Cursada aprobada")&gt;0))),O20&amp;" ","")&amp;IF(NOT(OR(P20="",COUNTIF($F$2:$F$51,P20)=0,COUNTIFS($F$2:$F$51,P20,$Q$2:$Q$51,"Aprobada")&gt;0,AND(Resumen!$B$15="La cursada aprobada",COUNTIFS($F$2:$F$51,P20,$Q$2:$Q$51,"Cursada aprobada")&gt;0))),P20&amp;" ",""))</f>
        <v>1003</v>
      </c>
      <c r="T20" s="9" t="str">
        <f aca="false">IF(Q20="Cursada aprobada",IF(AND(OR(L20="",COUNTIF($F$2:$F$51,L20)=0,COUNTIFS($F$2:$F$51,L20,$Q$2:$Q$51,"Aprobada")&gt;0),OR(M20="",COUNTIF($F$2:$F$51,M20)=0,COUNTIFS($F$2:$F$51,M20,$Q$2:$Q$51,"Aprobada")&gt;0),OR(N20="",COUNTIF($F$2:$F$51,N20)=0,COUNTIFS($F$2:$F$51,N20,$Q$2:$Q$51,"Aprobada")&gt;0),OR(O20="",COUNTIF($F$2:$F$51,O20)=0,COUNTIFS($F$2:$F$51,O20,$Q$2:$Q$51,"Aprobada")&gt;0),OR(P20="",COUNTIF($F$2:$F$51,P20)=0,COUNTIFS($F$2:$F$51,P20,$Q$2:$Q$51,"Aprobada")&gt;0)),"Sí","No"),"")</f>
        <v/>
      </c>
      <c r="U20" s="9" t="str">
        <f aca="false">IF(Q20="Aprobada",TRIM(IF(NOT(OR(L20="",COUNTIF($F$2:$F$51,L20)=0,COUNTIFS($F$2:$F$51,L20,$Q$2:$Q$51,"Aprobada")&gt;0)),L20&amp;" ","")&amp;IF(NOT(OR(M20="",COUNTIF($F$2:$F$51,M20)=0,COUNTIFS($F$2:$F$51,M20,$Q$2:$Q$51,"Aprobada")&gt;0)),M20&amp;" ","")&amp;IF(NOT(OR(N20="",COUNTIF($F$2:$F$51,N20)=0,COUNTIFS($F$2:$F$51,N20,$Q$2:$Q$51,"Aprobada")&gt;0)),N20&amp;" ","")&amp;IF(NOT(OR(O20="",COUNTIF($F$2:$F$51,O20)=0,COUNTIFS($F$2:$F$51,O20,$Q$2:$Q$51,"Aprobada")&gt;0)),O20&amp;" ","")&amp;IF(NOT(OR(P20="",COUNTIF($F$2:$F$51,P20)=0,COUNTIFS($F$2:$F$51,P20,$Q$2:$Q$51,"Aprobada")&gt;0)),P20&amp;" ","")),IF(Q20="Cursada aprobada",TRIM(IF(NOT(OR(L20="",COUNTIF($F$2:$F$51,L20)=0,COUNTIFS($F$2:$F$51,L20,$Q$2:$Q$51,"Aprobada")&gt;0,AND(Resumen!$B$15="La cursada aprobada",COUNTIFS($F$2:$F$51,L20,$Q$2:$Q$51,"Cursada aprobada")&gt;0))),L20&amp;" ","")&amp;IF(NOT(OR(M20="",COUNTIF($F$2:$F$51,M20)=0,COUNTIFS($F$2:$F$51,M20,$Q$2:$Q$51,"Aprobada")&gt;0,AND(Resumen!$B$15="La cursada aprobada",COUNTIFS($F$2:$F$51,M20,$Q$2:$Q$51,"Cursada aprobada")&gt;0))),M20&amp;" ","")&amp;IF(NOT(OR(N20="",COUNTIF($F$2:$F$51,N20)=0,COUNTIFS($F$2:$F$51,N20,$Q$2:$Q$51,"Aprobada")&gt;0,AND(Resumen!$B$15="La cursada aprobada",COUNTIFS($F$2:$F$51,N20,$Q$2:$Q$51,"Cursada aprobada")&gt;0))),N20&amp;" ","")&amp;IF(NOT(OR(O20="",COUNTIF($F$2:$F$51,O20)=0,COUNTIFS($F$2:$F$51,O20,$Q$2:$Q$51,"Aprobada")&gt;0,AND(Resumen!$B$15="La cursada aprobada",COUNTIFS($F$2:$F$51,O20,$Q$2:$Q$51,"Cursada aprobada")&gt;0))),O20&amp;" ","")&amp;IF(NOT(OR(P20="",COUNTIF($F$2:$F$51,P20)=0,COUNTIFS($F$2:$F$51,P20,$Q$2:$Q$51,"Aprobada")&gt;0,AND(Resumen!$B$15="La cursada aprobada",COUNTIFS($F$2:$F$51,P20,$Q$2:$Q$51,"Cursada aprobada")&gt;0))),P20&amp;" ","")),""))</f>
        <v/>
      </c>
    </row>
    <row r="21" customFormat="false" ht="15" hidden="false" customHeight="false" outlineLevel="0" collapsed="false">
      <c r="A21" s="8" t="s">
        <v>209</v>
      </c>
      <c r="B21" s="8"/>
      <c r="C21" s="9" t="n">
        <v>3</v>
      </c>
      <c r="D21" s="9" t="n">
        <v>2</v>
      </c>
      <c r="E21" s="9" t="s">
        <v>59</v>
      </c>
      <c r="F21" s="9" t="n">
        <v>419</v>
      </c>
      <c r="G21" s="8" t="s">
        <v>163</v>
      </c>
      <c r="H21" s="9" t="s">
        <v>71</v>
      </c>
      <c r="I21" s="9" t="n">
        <v>4</v>
      </c>
      <c r="J21" s="9"/>
      <c r="K21" s="9" t="n">
        <v>64</v>
      </c>
      <c r="L21" s="9" t="n">
        <v>314</v>
      </c>
      <c r="M21" s="9" t="n">
        <v>208</v>
      </c>
      <c r="N21" s="9" t="n">
        <v>218</v>
      </c>
      <c r="O21" s="9"/>
      <c r="P21" s="9"/>
      <c r="Q21" s="10" t="s">
        <v>62</v>
      </c>
      <c r="R21" s="9" t="str">
        <f aca="false">IF(Q21="Aprobada","Ya aprobada",IF(Q21="Cursada aprobada","Ya cursada",IF(AND(OR(L21="",COUNTIF($F$2:$F$51,L21)=0,COUNTIFS($F$2:$F$51,L21,$Q$2:$Q$51,"Aprobada")&gt;0,AND(Resumen!$B$15="La cursada aprobada",COUNTIFS($F$2:$F$51,L21,$Q$2:$Q$51,"Cursada aprobada")&gt;0)),OR(M21="",COUNTIF($F$2:$F$51,M21)=0,COUNTIFS($F$2:$F$51,M21,$Q$2:$Q$51,"Aprobada")&gt;0,AND(Resumen!$B$15="La cursada aprobada",COUNTIFS($F$2:$F$51,M21,$Q$2:$Q$51,"Cursada aprobada")&gt;0)),OR(N21="",COUNTIF($F$2:$F$51,N21)=0,COUNTIFS($F$2:$F$51,N21,$Q$2:$Q$51,"Aprobada")&gt;0,AND(Resumen!$B$15="La cursada aprobada",COUNTIFS($F$2:$F$51,N21,$Q$2:$Q$51,"Cursada aprobada")&gt;0)),OR(O21="",COUNTIF($F$2:$F$51,O21)=0,COUNTIFS($F$2:$F$51,O21,$Q$2:$Q$51,"Aprobada")&gt;0,AND(Resumen!$B$15="La cursada aprobada",COUNTIFS($F$2:$F$51,O21,$Q$2:$Q$51,"Cursada aprobada")&gt;0)),OR(P21="",COUNTIF($F$2:$F$51,P21)=0,COUNTIFS($F$2:$F$51,P21,$Q$2:$Q$51,"Aprobada")&gt;0,AND(Resumen!$B$15="La cursada aprobada",COUNTIFS($F$2:$F$51,P21,$Q$2:$Q$51,"Cursada aprobada")&gt;0))),"Sí","No")))</f>
        <v>No</v>
      </c>
      <c r="S21" s="8" t="str">
        <f aca="false">TRIM(IF(NOT(OR(L21="",COUNTIF($F$2:$F$51,L21)=0,COUNTIFS($F$2:$F$51,L21,$Q$2:$Q$51,"Aprobada")&gt;0,AND(Resumen!$B$15="La cursada aprobada",COUNTIFS($F$2:$F$51,L21,$Q$2:$Q$51,"Cursada aprobada")&gt;0))),L21&amp;" ","")&amp;IF(NOT(OR(M21="",COUNTIF($F$2:$F$51,M21)=0,COUNTIFS($F$2:$F$51,M21,$Q$2:$Q$51,"Aprobada")&gt;0,AND(Resumen!$B$15="La cursada aprobada",COUNTIFS($F$2:$F$51,M21,$Q$2:$Q$51,"Cursada aprobada")&gt;0))),M21&amp;" ","")&amp;IF(NOT(OR(N21="",COUNTIF($F$2:$F$51,N21)=0,COUNTIFS($F$2:$F$51,N21,$Q$2:$Q$51,"Aprobada")&gt;0,AND(Resumen!$B$15="La cursada aprobada",COUNTIFS($F$2:$F$51,N21,$Q$2:$Q$51,"Cursada aprobada")&gt;0))),N21&amp;" ","")&amp;IF(NOT(OR(O21="",COUNTIF($F$2:$F$51,O21)=0,COUNTIFS($F$2:$F$51,O21,$Q$2:$Q$51,"Aprobada")&gt;0,AND(Resumen!$B$15="La cursada aprobada",COUNTIFS($F$2:$F$51,O21,$Q$2:$Q$51,"Cursada aprobada")&gt;0))),O21&amp;" ","")&amp;IF(NOT(OR(P21="",COUNTIF($F$2:$F$51,P21)=0,COUNTIFS($F$2:$F$51,P21,$Q$2:$Q$51,"Aprobada")&gt;0,AND(Resumen!$B$15="La cursada aprobada",COUNTIFS($F$2:$F$51,P21,$Q$2:$Q$51,"Cursada aprobada")&gt;0))),P21&amp;" ",""))</f>
        <v>314 208 218</v>
      </c>
      <c r="T21" s="9" t="str">
        <f aca="false">IF(Q21="Cursada aprobada",IF(AND(OR(L21="",COUNTIF($F$2:$F$51,L21)=0,COUNTIFS($F$2:$F$51,L21,$Q$2:$Q$51,"Aprobada")&gt;0),OR(M21="",COUNTIF($F$2:$F$51,M21)=0,COUNTIFS($F$2:$F$51,M21,$Q$2:$Q$51,"Aprobada")&gt;0),OR(N21="",COUNTIF($F$2:$F$51,N21)=0,COUNTIFS($F$2:$F$51,N21,$Q$2:$Q$51,"Aprobada")&gt;0),OR(O21="",COUNTIF($F$2:$F$51,O21)=0,COUNTIFS($F$2:$F$51,O21,$Q$2:$Q$51,"Aprobada")&gt;0),OR(P21="",COUNTIF($F$2:$F$51,P21)=0,COUNTIFS($F$2:$F$51,P21,$Q$2:$Q$51,"Aprobada")&gt;0)),"Sí","No"),"")</f>
        <v/>
      </c>
      <c r="U21" s="9" t="str">
        <f aca="false">IF(Q21="Aprobada",TRIM(IF(NOT(OR(L21="",COUNTIF($F$2:$F$51,L21)=0,COUNTIFS($F$2:$F$51,L21,$Q$2:$Q$51,"Aprobada")&gt;0)),L21&amp;" ","")&amp;IF(NOT(OR(M21="",COUNTIF($F$2:$F$51,M21)=0,COUNTIFS($F$2:$F$51,M21,$Q$2:$Q$51,"Aprobada")&gt;0)),M21&amp;" ","")&amp;IF(NOT(OR(N21="",COUNTIF($F$2:$F$51,N21)=0,COUNTIFS($F$2:$F$51,N21,$Q$2:$Q$51,"Aprobada")&gt;0)),N21&amp;" ","")&amp;IF(NOT(OR(O21="",COUNTIF($F$2:$F$51,O21)=0,COUNTIFS($F$2:$F$51,O21,$Q$2:$Q$51,"Aprobada")&gt;0)),O21&amp;" ","")&amp;IF(NOT(OR(P21="",COUNTIF($F$2:$F$51,P21)=0,COUNTIFS($F$2:$F$51,P21,$Q$2:$Q$51,"Aprobada")&gt;0)),P21&amp;" ","")),IF(Q21="Cursada aprobada",TRIM(IF(NOT(OR(L21="",COUNTIF($F$2:$F$51,L21)=0,COUNTIFS($F$2:$F$51,L21,$Q$2:$Q$51,"Aprobada")&gt;0,AND(Resumen!$B$15="La cursada aprobada",COUNTIFS($F$2:$F$51,L21,$Q$2:$Q$51,"Cursada aprobada")&gt;0))),L21&amp;" ","")&amp;IF(NOT(OR(M21="",COUNTIF($F$2:$F$51,M21)=0,COUNTIFS($F$2:$F$51,M21,$Q$2:$Q$51,"Aprobada")&gt;0,AND(Resumen!$B$15="La cursada aprobada",COUNTIFS($F$2:$F$51,M21,$Q$2:$Q$51,"Cursada aprobada")&gt;0))),M21&amp;" ","")&amp;IF(NOT(OR(N21="",COUNTIF($F$2:$F$51,N21)=0,COUNTIFS($F$2:$F$51,N21,$Q$2:$Q$51,"Aprobada")&gt;0,AND(Resumen!$B$15="La cursada aprobada",COUNTIFS($F$2:$F$51,N21,$Q$2:$Q$51,"Cursada aprobada")&gt;0))),N21&amp;" ","")&amp;IF(NOT(OR(O21="",COUNTIF($F$2:$F$51,O21)=0,COUNTIFS($F$2:$F$51,O21,$Q$2:$Q$51,"Aprobada")&gt;0,AND(Resumen!$B$15="La cursada aprobada",COUNTIFS($F$2:$F$51,O21,$Q$2:$Q$51,"Cursada aprobada")&gt;0))),O21&amp;" ","")&amp;IF(NOT(OR(P21="",COUNTIF($F$2:$F$51,P21)=0,COUNTIFS($F$2:$F$51,P21,$Q$2:$Q$51,"Aprobada")&gt;0,AND(Resumen!$B$15="La cursada aprobada",COUNTIFS($F$2:$F$51,P21,$Q$2:$Q$51,"Cursada aprobada")&gt;0))),P21&amp;" ","")),""))</f>
        <v/>
      </c>
    </row>
    <row r="22" customFormat="false" ht="15" hidden="false" customHeight="false" outlineLevel="0" collapsed="false">
      <c r="A22" s="8" t="s">
        <v>209</v>
      </c>
      <c r="B22" s="8"/>
      <c r="C22" s="9" t="n">
        <v>3</v>
      </c>
      <c r="D22" s="9" t="n">
        <v>2</v>
      </c>
      <c r="E22" s="9" t="s">
        <v>99</v>
      </c>
      <c r="F22" s="9" t="n">
        <v>499</v>
      </c>
      <c r="G22" s="8" t="s">
        <v>100</v>
      </c>
      <c r="H22" s="9" t="s">
        <v>92</v>
      </c>
      <c r="I22" s="9" t="n">
        <v>2</v>
      </c>
      <c r="J22" s="9"/>
      <c r="K22" s="9" t="n">
        <v>32</v>
      </c>
      <c r="L22" s="9"/>
      <c r="M22" s="9"/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cursada",IF(AND(OR(L22="",COUNTIF($F$2:$F$51,L22)=0,COUNTIFS($F$2:$F$51,L22,$Q$2:$Q$51,"Aprobada")&gt;0,AND(Resumen!$B$15="La cursada aprobada",COUNTIFS($F$2:$F$51,L22,$Q$2:$Q$51,"Cursada aprobada")&gt;0)),OR(M22="",COUNTIF($F$2:$F$51,M22)=0,COUNTIFS($F$2:$F$51,M22,$Q$2:$Q$51,"Aprobada")&gt;0,AND(Resumen!$B$15="La cursada aprobada",COUNTIFS($F$2:$F$51,M22,$Q$2:$Q$51,"Cursada aprobada")&gt;0)),OR(N22="",COUNTIF($F$2:$F$51,N22)=0,COUNTIFS($F$2:$F$51,N22,$Q$2:$Q$51,"Aprobada")&gt;0,AND(Resumen!$B$15="La cursada aprobada",COUNTIFS($F$2:$F$51,N22,$Q$2:$Q$51,"Cursada aprobada")&gt;0)),OR(O22="",COUNTIF($F$2:$F$51,O22)=0,COUNTIFS($F$2:$F$51,O22,$Q$2:$Q$51,"Aprobada")&gt;0,AND(Resumen!$B$15="La cursada aprobada",COUNTIFS($F$2:$F$51,O22,$Q$2:$Q$51,"Cursada aprobada")&gt;0)),OR(P22="",COUNTIF($F$2:$F$51,P22)=0,COUNTIFS($F$2:$F$51,P22,$Q$2:$Q$51,"Aprobada")&gt;0,AND(Resumen!$B$15="La cursada aprobada",COUNTIFS($F$2:$F$51,P22,$Q$2:$Q$51,"Cursada aprobada")&gt;0))),"Sí","No")))</f>
        <v>Sí</v>
      </c>
      <c r="S22" s="8" t="str">
        <f aca="false">TRIM(IF(NOT(OR(L22="",COUNTIF($F$2:$F$51,L22)=0,COUNTIFS($F$2:$F$51,L22,$Q$2:$Q$51,"Aprobada")&gt;0,AND(Resumen!$B$15="La cursada aprobada",COUNTIFS($F$2:$F$51,L22,$Q$2:$Q$51,"Cursada aprobada")&gt;0))),L22&amp;" ","")&amp;IF(NOT(OR(M22="",COUNTIF($F$2:$F$51,M22)=0,COUNTIFS($F$2:$F$51,M22,$Q$2:$Q$51,"Aprobada")&gt;0,AND(Resumen!$B$15="La cursada aprobada",COUNTIFS($F$2:$F$51,M22,$Q$2:$Q$51,"Cursada aprobada")&gt;0))),M22&amp;" ","")&amp;IF(NOT(OR(N22="",COUNTIF($F$2:$F$51,N22)=0,COUNTIFS($F$2:$F$51,N22,$Q$2:$Q$51,"Aprobada")&gt;0,AND(Resumen!$B$15="La cursada aprobada",COUNTIFS($F$2:$F$51,N22,$Q$2:$Q$51,"Cursada aprobada")&gt;0))),N22&amp;" ","")&amp;IF(NOT(OR(O22="",COUNTIF($F$2:$F$51,O22)=0,COUNTIFS($F$2:$F$51,O22,$Q$2:$Q$51,"Aprobada")&gt;0,AND(Resumen!$B$15="La cursada aprobada",COUNTIFS($F$2:$F$51,O22,$Q$2:$Q$51,"Cursada aprobada")&gt;0))),O22&amp;" ","")&amp;IF(NOT(OR(P22="",COUNTIF($F$2:$F$51,P22)=0,COUNTIFS($F$2:$F$51,P22,$Q$2:$Q$51,"Aprobada")&gt;0,AND(Resumen!$B$15="La cursada aprobada",COUNTIFS($F$2:$F$51,P22,$Q$2:$Q$51,"Cursada aprobada")&gt;0))),P22&amp;" ",""))</f>
        <v/>
      </c>
      <c r="T22" s="9" t="str">
        <f aca="false">IF(Q22="Cursada aprobada",IF(AND(OR(L22="",COUNTIF($F$2:$F$51,L22)=0,COUNTIFS($F$2:$F$51,L22,$Q$2:$Q$51,"Aprobada")&gt;0),OR(M22="",COUNTIF($F$2:$F$51,M22)=0,COUNTIFS($F$2:$F$51,M22,$Q$2:$Q$51,"Aprobada")&gt;0),OR(N22="",COUNTIF($F$2:$F$51,N22)=0,COUNTIFS($F$2:$F$51,N22,$Q$2:$Q$51,"Aprobada")&gt;0),OR(O22="",COUNTIF($F$2:$F$51,O22)=0,COUNTIFS($F$2:$F$51,O22,$Q$2:$Q$51,"Aprobada")&gt;0),OR(P22="",COUNTIF($F$2:$F$51,P22)=0,COUNTIFS($F$2:$F$51,P22,$Q$2:$Q$51,"Aprobada")&gt;0)),"Sí","No"),"")</f>
        <v/>
      </c>
      <c r="U22" s="9" t="str">
        <f aca="false">IF(Q22="Aprobada",TRIM(IF(NOT(OR(L22="",COUNTIF($F$2:$F$51,L22)=0,COUNTIFS($F$2:$F$51,L22,$Q$2:$Q$51,"Aprobada")&gt;0)),L22&amp;" ","")&amp;IF(NOT(OR(M22="",COUNTIF($F$2:$F$51,M22)=0,COUNTIFS($F$2:$F$51,M22,$Q$2:$Q$51,"Aprobada")&gt;0)),M22&amp;" ","")&amp;IF(NOT(OR(N22="",COUNTIF($F$2:$F$51,N22)=0,COUNTIFS($F$2:$F$51,N22,$Q$2:$Q$51,"Aprobada")&gt;0)),N22&amp;" ","")&amp;IF(NOT(OR(O22="",COUNTIF($F$2:$F$51,O22)=0,COUNTIFS($F$2:$F$51,O22,$Q$2:$Q$51,"Aprobada")&gt;0)),O22&amp;" ","")&amp;IF(NOT(OR(P22="",COUNTIF($F$2:$F$51,P22)=0,COUNTIFS($F$2:$F$51,P22,$Q$2:$Q$51,"Aprobada")&gt;0)),P22&amp;" ","")),IF(Q22="Cursada aprobada",TRIM(IF(NOT(OR(L22="",COUNTIF($F$2:$F$51,L22)=0,COUNTIFS($F$2:$F$51,L22,$Q$2:$Q$51,"Aprobada")&gt;0,AND(Resumen!$B$15="La cursada aprobada",COUNTIFS($F$2:$F$51,L22,$Q$2:$Q$51,"Cursada aprobada")&gt;0))),L22&amp;" ","")&amp;IF(NOT(OR(M22="",COUNTIF($F$2:$F$51,M22)=0,COUNTIFS($F$2:$F$51,M22,$Q$2:$Q$51,"Aprobada")&gt;0,AND(Resumen!$B$15="La cursada aprobada",COUNTIFS($F$2:$F$51,M22,$Q$2:$Q$51,"Cursada aprobada")&gt;0))),M22&amp;" ","")&amp;IF(NOT(OR(N22="",COUNTIF($F$2:$F$51,N22)=0,COUNTIFS($F$2:$F$51,N22,$Q$2:$Q$51,"Aprobada")&gt;0,AND(Resumen!$B$15="La cursada aprobada",COUNTIFS($F$2:$F$51,N22,$Q$2:$Q$51,"Cursada aprobada")&gt;0))),N22&amp;" ","")&amp;IF(NOT(OR(O22="",COUNTIF($F$2:$F$51,O22)=0,COUNTIFS($F$2:$F$51,O22,$Q$2:$Q$51,"Aprobada")&gt;0,AND(Resumen!$B$15="La cursada aprobada",COUNTIFS($F$2:$F$51,O22,$Q$2:$Q$51,"Cursada aprobada")&gt;0))),O22&amp;" ","")&amp;IF(NOT(OR(P22="",COUNTIF($F$2:$F$51,P22)=0,COUNTIFS($F$2:$F$51,P22,$Q$2:$Q$51,"Aprobada")&gt;0,AND(Resumen!$B$15="La cursada aprobada",COUNTIFS($F$2:$F$51,P22,$Q$2:$Q$51,"Cursada aprobada")&gt;0))),P22&amp;" ","")),""))</f>
        <v/>
      </c>
    </row>
    <row r="23" customFormat="false" ht="15" hidden="false" customHeight="false" outlineLevel="0" collapsed="false">
      <c r="A23" s="8" t="s">
        <v>209</v>
      </c>
      <c r="B23" s="8"/>
      <c r="C23" s="9" t="n">
        <v>4</v>
      </c>
      <c r="D23" s="9" t="n">
        <v>1</v>
      </c>
      <c r="E23" s="9" t="s">
        <v>59</v>
      </c>
      <c r="F23" s="9" t="n">
        <v>553</v>
      </c>
      <c r="G23" s="8" t="s">
        <v>164</v>
      </c>
      <c r="H23" s="9" t="s">
        <v>71</v>
      </c>
      <c r="I23" s="9" t="n">
        <v>6</v>
      </c>
      <c r="J23" s="9"/>
      <c r="K23" s="9" t="n">
        <v>96</v>
      </c>
      <c r="L23" s="9" t="n">
        <v>314</v>
      </c>
      <c r="M23" s="9" t="n">
        <v>280</v>
      </c>
      <c r="N23" s="9" t="n">
        <v>208</v>
      </c>
      <c r="O23" s="9" t="n">
        <v>419</v>
      </c>
      <c r="P23" s="9"/>
      <c r="Q23" s="10" t="s">
        <v>62</v>
      </c>
      <c r="R23" s="9" t="str">
        <f aca="false">IF(Q23="Aprobada","Ya aprobada",IF(Q23="Cursada aprobada","Ya cursada",IF(AND(OR(L23="",COUNTIF($F$2:$F$51,L23)=0,COUNTIFS($F$2:$F$51,L23,$Q$2:$Q$51,"Aprobada")&gt;0,AND(Resumen!$B$15="La cursada aprobada",COUNTIFS($F$2:$F$51,L23,$Q$2:$Q$51,"Cursada aprobada")&gt;0)),OR(M23="",COUNTIF($F$2:$F$51,M23)=0,COUNTIFS($F$2:$F$51,M23,$Q$2:$Q$51,"Aprobada")&gt;0,AND(Resumen!$B$15="La cursada aprobada",COUNTIFS($F$2:$F$51,M23,$Q$2:$Q$51,"Cursada aprobada")&gt;0)),OR(N23="",COUNTIF($F$2:$F$51,N23)=0,COUNTIFS($F$2:$F$51,N23,$Q$2:$Q$51,"Aprobada")&gt;0,AND(Resumen!$B$15="La cursada aprobada",COUNTIFS($F$2:$F$51,N23,$Q$2:$Q$51,"Cursada aprobada")&gt;0)),OR(O23="",COUNTIF($F$2:$F$51,O23)=0,COUNTIFS($F$2:$F$51,O23,$Q$2:$Q$51,"Aprobada")&gt;0,AND(Resumen!$B$15="La cursada aprobada",COUNTIFS($F$2:$F$51,O23,$Q$2:$Q$51,"Cursada aprobada")&gt;0)),OR(P23="",COUNTIF($F$2:$F$51,P23)=0,COUNTIFS($F$2:$F$51,P23,$Q$2:$Q$51,"Aprobada")&gt;0,AND(Resumen!$B$15="La cursada aprobada",COUNTIFS($F$2:$F$51,P23,$Q$2:$Q$51,"Cursada aprobada")&gt;0))),"Sí","No")))</f>
        <v>No</v>
      </c>
      <c r="S23" s="8" t="str">
        <f aca="false">TRIM(IF(NOT(OR(L23="",COUNTIF($F$2:$F$51,L23)=0,COUNTIFS($F$2:$F$51,L23,$Q$2:$Q$51,"Aprobada")&gt;0,AND(Resumen!$B$15="La cursada aprobada",COUNTIFS($F$2:$F$51,L23,$Q$2:$Q$51,"Cursada aprobada")&gt;0))),L23&amp;" ","")&amp;IF(NOT(OR(M23="",COUNTIF($F$2:$F$51,M23)=0,COUNTIFS($F$2:$F$51,M23,$Q$2:$Q$51,"Aprobada")&gt;0,AND(Resumen!$B$15="La cursada aprobada",COUNTIFS($F$2:$F$51,M23,$Q$2:$Q$51,"Cursada aprobada")&gt;0))),M23&amp;" ","")&amp;IF(NOT(OR(N23="",COUNTIF($F$2:$F$51,N23)=0,COUNTIFS($F$2:$F$51,N23,$Q$2:$Q$51,"Aprobada")&gt;0,AND(Resumen!$B$15="La cursada aprobada",COUNTIFS($F$2:$F$51,N23,$Q$2:$Q$51,"Cursada aprobada")&gt;0))),N23&amp;" ","")&amp;IF(NOT(OR(O23="",COUNTIF($F$2:$F$51,O23)=0,COUNTIFS($F$2:$F$51,O23,$Q$2:$Q$51,"Aprobada")&gt;0,AND(Resumen!$B$15="La cursada aprobada",COUNTIFS($F$2:$F$51,O23,$Q$2:$Q$51,"Cursada aprobada")&gt;0))),O23&amp;" ","")&amp;IF(NOT(OR(P23="",COUNTIF($F$2:$F$51,P23)=0,COUNTIFS($F$2:$F$51,P23,$Q$2:$Q$51,"Aprobada")&gt;0,AND(Resumen!$B$15="La cursada aprobada",COUNTIFS($F$2:$F$51,P23,$Q$2:$Q$51,"Cursada aprobada")&gt;0))),P23&amp;" ",""))</f>
        <v>314 280 208 419</v>
      </c>
      <c r="T23" s="9" t="str">
        <f aca="false">IF(Q23="Cursada aprobada",IF(AND(OR(L23="",COUNTIF($F$2:$F$51,L23)=0,COUNTIFS($F$2:$F$51,L23,$Q$2:$Q$51,"Aprobada")&gt;0),OR(M23="",COUNTIF($F$2:$F$51,M23)=0,COUNTIFS($F$2:$F$51,M23,$Q$2:$Q$51,"Aprobada")&gt;0),OR(N23="",COUNTIF($F$2:$F$51,N23)=0,COUNTIFS($F$2:$F$51,N23,$Q$2:$Q$51,"Aprobada")&gt;0),OR(O23="",COUNTIF($F$2:$F$51,O23)=0,COUNTIFS($F$2:$F$51,O23,$Q$2:$Q$51,"Aprobada")&gt;0),OR(P23="",COUNTIF($F$2:$F$51,P23)=0,COUNTIFS($F$2:$F$51,P23,$Q$2:$Q$51,"Aprobada")&gt;0)),"Sí","No"),"")</f>
        <v/>
      </c>
      <c r="U23" s="9" t="str">
        <f aca="false">IF(Q23="Aprobada",TRIM(IF(NOT(OR(L23="",COUNTIF($F$2:$F$51,L23)=0,COUNTIFS($F$2:$F$51,L23,$Q$2:$Q$51,"Aprobada")&gt;0)),L23&amp;" ","")&amp;IF(NOT(OR(M23="",COUNTIF($F$2:$F$51,M23)=0,COUNTIFS($F$2:$F$51,M23,$Q$2:$Q$51,"Aprobada")&gt;0)),M23&amp;" ","")&amp;IF(NOT(OR(N23="",COUNTIF($F$2:$F$51,N23)=0,COUNTIFS($F$2:$F$51,N23,$Q$2:$Q$51,"Aprobada")&gt;0)),N23&amp;" ","")&amp;IF(NOT(OR(O23="",COUNTIF($F$2:$F$51,O23)=0,COUNTIFS($F$2:$F$51,O23,$Q$2:$Q$51,"Aprobada")&gt;0)),O23&amp;" ","")&amp;IF(NOT(OR(P23="",COUNTIF($F$2:$F$51,P23)=0,COUNTIFS($F$2:$F$51,P23,$Q$2:$Q$51,"Aprobada")&gt;0)),P23&amp;" ","")),IF(Q23="Cursada aprobada",TRIM(IF(NOT(OR(L23="",COUNTIF($F$2:$F$51,L23)=0,COUNTIFS($F$2:$F$51,L23,$Q$2:$Q$51,"Aprobada")&gt;0,AND(Resumen!$B$15="La cursada aprobada",COUNTIFS($F$2:$F$51,L23,$Q$2:$Q$51,"Cursada aprobada")&gt;0))),L23&amp;" ","")&amp;IF(NOT(OR(M23="",COUNTIF($F$2:$F$51,M23)=0,COUNTIFS($F$2:$F$51,M23,$Q$2:$Q$51,"Aprobada")&gt;0,AND(Resumen!$B$15="La cursada aprobada",COUNTIFS($F$2:$F$51,M23,$Q$2:$Q$51,"Cursada aprobada")&gt;0))),M23&amp;" ","")&amp;IF(NOT(OR(N23="",COUNTIF($F$2:$F$51,N23)=0,COUNTIFS($F$2:$F$51,N23,$Q$2:$Q$51,"Aprobada")&gt;0,AND(Resumen!$B$15="La cursada aprobada",COUNTIFS($F$2:$F$51,N23,$Q$2:$Q$51,"Cursada aprobada")&gt;0))),N23&amp;" ","")&amp;IF(NOT(OR(O23="",COUNTIF($F$2:$F$51,O23)=0,COUNTIFS($F$2:$F$51,O23,$Q$2:$Q$51,"Aprobada")&gt;0,AND(Resumen!$B$15="La cursada aprobada",COUNTIFS($F$2:$F$51,O23,$Q$2:$Q$51,"Cursada aprobada")&gt;0))),O23&amp;" ","")&amp;IF(NOT(OR(P23="",COUNTIF($F$2:$F$51,P23)=0,COUNTIFS($F$2:$F$51,P23,$Q$2:$Q$51,"Aprobada")&gt;0,AND(Resumen!$B$15="La cursada aprobada",COUNTIFS($F$2:$F$51,P23,$Q$2:$Q$51,"Cursada aprobada")&gt;0))),P23&amp;" ","")),""))</f>
        <v/>
      </c>
    </row>
    <row r="24" customFormat="false" ht="15" hidden="false" customHeight="false" outlineLevel="0" collapsed="false">
      <c r="A24" s="8" t="s">
        <v>209</v>
      </c>
      <c r="B24" s="8"/>
      <c r="C24" s="9" t="n">
        <v>4</v>
      </c>
      <c r="D24" s="9" t="n">
        <v>1</v>
      </c>
      <c r="E24" s="9" t="s">
        <v>59</v>
      </c>
      <c r="F24" s="9" t="n">
        <v>1010</v>
      </c>
      <c r="G24" s="8" t="s">
        <v>211</v>
      </c>
      <c r="H24" s="9" t="s">
        <v>71</v>
      </c>
      <c r="I24" s="9" t="n">
        <v>4</v>
      </c>
      <c r="J24" s="9"/>
      <c r="K24" s="9" t="n">
        <v>64</v>
      </c>
      <c r="L24" s="9" t="n">
        <v>314</v>
      </c>
      <c r="M24" s="9" t="n">
        <v>280</v>
      </c>
      <c r="N24" s="9" t="n">
        <v>218</v>
      </c>
      <c r="O24" s="9"/>
      <c r="P24" s="9"/>
      <c r="Q24" s="10" t="s">
        <v>62</v>
      </c>
      <c r="R24" s="9" t="str">
        <f aca="false">IF(Q24="Aprobada","Ya aprobada",IF(Q24="Cursada aprobada","Ya cursada",IF(AND(OR(L24="",COUNTIF($F$2:$F$51,L24)=0,COUNTIFS($F$2:$F$51,L24,$Q$2:$Q$51,"Aprobada")&gt;0,AND(Resumen!$B$15="La cursada aprobada",COUNTIFS($F$2:$F$51,L24,$Q$2:$Q$51,"Cursada aprobada")&gt;0)),OR(M24="",COUNTIF($F$2:$F$51,M24)=0,COUNTIFS($F$2:$F$51,M24,$Q$2:$Q$51,"Aprobada")&gt;0,AND(Resumen!$B$15="La cursada aprobada",COUNTIFS($F$2:$F$51,M24,$Q$2:$Q$51,"Cursada aprobada")&gt;0)),OR(N24="",COUNTIF($F$2:$F$51,N24)=0,COUNTIFS($F$2:$F$51,N24,$Q$2:$Q$51,"Aprobada")&gt;0,AND(Resumen!$B$15="La cursada aprobada",COUNTIFS($F$2:$F$51,N24,$Q$2:$Q$51,"Cursada aprobada")&gt;0)),OR(O24="",COUNTIF($F$2:$F$51,O24)=0,COUNTIFS($F$2:$F$51,O24,$Q$2:$Q$51,"Aprobada")&gt;0,AND(Resumen!$B$15="La cursada aprobada",COUNTIFS($F$2:$F$51,O24,$Q$2:$Q$51,"Cursada aprobada")&gt;0)),OR(P24="",COUNTIF($F$2:$F$51,P24)=0,COUNTIFS($F$2:$F$51,P24,$Q$2:$Q$51,"Aprobada")&gt;0,AND(Resumen!$B$15="La cursada aprobada",COUNTIFS($F$2:$F$51,P24,$Q$2:$Q$51,"Cursada aprobada")&gt;0))),"Sí","No")))</f>
        <v>No</v>
      </c>
      <c r="S24" s="8" t="str">
        <f aca="false">TRIM(IF(NOT(OR(L24="",COUNTIF($F$2:$F$51,L24)=0,COUNTIFS($F$2:$F$51,L24,$Q$2:$Q$51,"Aprobada")&gt;0,AND(Resumen!$B$15="La cursada aprobada",COUNTIFS($F$2:$F$51,L24,$Q$2:$Q$51,"Cursada aprobada")&gt;0))),L24&amp;" ","")&amp;IF(NOT(OR(M24="",COUNTIF($F$2:$F$51,M24)=0,COUNTIFS($F$2:$F$51,M24,$Q$2:$Q$51,"Aprobada")&gt;0,AND(Resumen!$B$15="La cursada aprobada",COUNTIFS($F$2:$F$51,M24,$Q$2:$Q$51,"Cursada aprobada")&gt;0))),M24&amp;" ","")&amp;IF(NOT(OR(N24="",COUNTIF($F$2:$F$51,N24)=0,COUNTIFS($F$2:$F$51,N24,$Q$2:$Q$51,"Aprobada")&gt;0,AND(Resumen!$B$15="La cursada aprobada",COUNTIFS($F$2:$F$51,N24,$Q$2:$Q$51,"Cursada aprobada")&gt;0))),N24&amp;" ","")&amp;IF(NOT(OR(O24="",COUNTIF($F$2:$F$51,O24)=0,COUNTIFS($F$2:$F$51,O24,$Q$2:$Q$51,"Aprobada")&gt;0,AND(Resumen!$B$15="La cursada aprobada",COUNTIFS($F$2:$F$51,O24,$Q$2:$Q$51,"Cursada aprobada")&gt;0))),O24&amp;" ","")&amp;IF(NOT(OR(P24="",COUNTIF($F$2:$F$51,P24)=0,COUNTIFS($F$2:$F$51,P24,$Q$2:$Q$51,"Aprobada")&gt;0,AND(Resumen!$B$15="La cursada aprobada",COUNTIFS($F$2:$F$51,P24,$Q$2:$Q$51,"Cursada aprobada")&gt;0))),P24&amp;" ",""))</f>
        <v>314 280 218</v>
      </c>
      <c r="T24" s="9" t="str">
        <f aca="false">IF(Q24="Cursada aprobada",IF(AND(OR(L24="",COUNTIF($F$2:$F$51,L24)=0,COUNTIFS($F$2:$F$51,L24,$Q$2:$Q$51,"Aprobada")&gt;0),OR(M24="",COUNTIF($F$2:$F$51,M24)=0,COUNTIFS($F$2:$F$51,M24,$Q$2:$Q$51,"Aprobada")&gt;0),OR(N24="",COUNTIF($F$2:$F$51,N24)=0,COUNTIFS($F$2:$F$51,N24,$Q$2:$Q$51,"Aprobada")&gt;0),OR(O24="",COUNTIF($F$2:$F$51,O24)=0,COUNTIFS($F$2:$F$51,O24,$Q$2:$Q$51,"Aprobada")&gt;0),OR(P24="",COUNTIF($F$2:$F$51,P24)=0,COUNTIFS($F$2:$F$51,P24,$Q$2:$Q$51,"Aprobada")&gt;0)),"Sí","No"),"")</f>
        <v/>
      </c>
      <c r="U24" s="9" t="str">
        <f aca="false">IF(Q24="Aprobada",TRIM(IF(NOT(OR(L24="",COUNTIF($F$2:$F$51,L24)=0,COUNTIFS($F$2:$F$51,L24,$Q$2:$Q$51,"Aprobada")&gt;0)),L24&amp;" ","")&amp;IF(NOT(OR(M24="",COUNTIF($F$2:$F$51,M24)=0,COUNTIFS($F$2:$F$51,M24,$Q$2:$Q$51,"Aprobada")&gt;0)),M24&amp;" ","")&amp;IF(NOT(OR(N24="",COUNTIF($F$2:$F$51,N24)=0,COUNTIFS($F$2:$F$51,N24,$Q$2:$Q$51,"Aprobada")&gt;0)),N24&amp;" ","")&amp;IF(NOT(OR(O24="",COUNTIF($F$2:$F$51,O24)=0,COUNTIFS($F$2:$F$51,O24,$Q$2:$Q$51,"Aprobada")&gt;0)),O24&amp;" ","")&amp;IF(NOT(OR(P24="",COUNTIF($F$2:$F$51,P24)=0,COUNTIFS($F$2:$F$51,P24,$Q$2:$Q$51,"Aprobada")&gt;0)),P24&amp;" ","")),IF(Q24="Cursada aprobada",TRIM(IF(NOT(OR(L24="",COUNTIF($F$2:$F$51,L24)=0,COUNTIFS($F$2:$F$51,L24,$Q$2:$Q$51,"Aprobada")&gt;0,AND(Resumen!$B$15="La cursada aprobada",COUNTIFS($F$2:$F$51,L24,$Q$2:$Q$51,"Cursada aprobada")&gt;0))),L24&amp;" ","")&amp;IF(NOT(OR(M24="",COUNTIF($F$2:$F$51,M24)=0,COUNTIFS($F$2:$F$51,M24,$Q$2:$Q$51,"Aprobada")&gt;0,AND(Resumen!$B$15="La cursada aprobada",COUNTIFS($F$2:$F$51,M24,$Q$2:$Q$51,"Cursada aprobada")&gt;0))),M24&amp;" ","")&amp;IF(NOT(OR(N24="",COUNTIF($F$2:$F$51,N24)=0,COUNTIFS($F$2:$F$51,N24,$Q$2:$Q$51,"Aprobada")&gt;0,AND(Resumen!$B$15="La cursada aprobada",COUNTIFS($F$2:$F$51,N24,$Q$2:$Q$51,"Cursada aprobada")&gt;0))),N24&amp;" ","")&amp;IF(NOT(OR(O24="",COUNTIF($F$2:$F$51,O24)=0,COUNTIFS($F$2:$F$51,O24,$Q$2:$Q$51,"Aprobada")&gt;0,AND(Resumen!$B$15="La cursada aprobada",COUNTIFS($F$2:$F$51,O24,$Q$2:$Q$51,"Cursada aprobada")&gt;0))),O24&amp;" ","")&amp;IF(NOT(OR(P24="",COUNTIF($F$2:$F$51,P24)=0,COUNTIFS($F$2:$F$51,P24,$Q$2:$Q$51,"Aprobada")&gt;0,AND(Resumen!$B$15="La cursada aprobada",COUNTIFS($F$2:$F$51,P24,$Q$2:$Q$51,"Cursada aprobada")&gt;0))),P24&amp;" ","")),""))</f>
        <v/>
      </c>
    </row>
    <row r="25" customFormat="false" ht="15" hidden="false" customHeight="false" outlineLevel="0" collapsed="false">
      <c r="A25" s="8" t="s">
        <v>209</v>
      </c>
      <c r="B25" s="8"/>
      <c r="C25" s="9" t="n">
        <v>4</v>
      </c>
      <c r="D25" s="9" t="n">
        <v>1</v>
      </c>
      <c r="E25" s="9" t="s">
        <v>99</v>
      </c>
      <c r="F25" s="9" t="n">
        <v>1006</v>
      </c>
      <c r="G25" s="8" t="s">
        <v>212</v>
      </c>
      <c r="H25" s="9" t="s">
        <v>92</v>
      </c>
      <c r="I25" s="9" t="n">
        <v>9</v>
      </c>
      <c r="J25" s="9"/>
      <c r="K25" s="9" t="n">
        <v>144</v>
      </c>
      <c r="L25" s="9" t="n">
        <v>1005</v>
      </c>
      <c r="M25" s="9" t="n">
        <v>103</v>
      </c>
      <c r="N25" s="9" t="n">
        <v>308</v>
      </c>
      <c r="O25" s="9" t="n">
        <v>419</v>
      </c>
      <c r="P25" s="9"/>
      <c r="Q25" s="10" t="s">
        <v>62</v>
      </c>
      <c r="R25" s="9" t="str">
        <f aca="false">IF(Q25="Aprobada","Ya aprobada",IF(Q25="Cursada aprobada","Ya cursada",IF(AND(OR(L25="",COUNTIF($F$2:$F$51,L25)=0,COUNTIFS($F$2:$F$51,L25,$Q$2:$Q$51,"Aprobada")&gt;0,AND(Resumen!$B$15="La cursada aprobada",COUNTIFS($F$2:$F$51,L25,$Q$2:$Q$51,"Cursada aprobada")&gt;0)),OR(M25="",COUNTIF($F$2:$F$51,M25)=0,COUNTIFS($F$2:$F$51,M25,$Q$2:$Q$51,"Aprobada")&gt;0,AND(Resumen!$B$15="La cursada aprobada",COUNTIFS($F$2:$F$51,M25,$Q$2:$Q$51,"Cursada aprobada")&gt;0)),OR(N25="",COUNTIF($F$2:$F$51,N25)=0,COUNTIFS($F$2:$F$51,N25,$Q$2:$Q$51,"Aprobada")&gt;0,AND(Resumen!$B$15="La cursada aprobada",COUNTIFS($F$2:$F$51,N25,$Q$2:$Q$51,"Cursada aprobada")&gt;0)),OR(O25="",COUNTIF($F$2:$F$51,O25)=0,COUNTIFS($F$2:$F$51,O25,$Q$2:$Q$51,"Aprobada")&gt;0,AND(Resumen!$B$15="La cursada aprobada",COUNTIFS($F$2:$F$51,O25,$Q$2:$Q$51,"Cursada aprobada")&gt;0)),OR(P25="",COUNTIF($F$2:$F$51,P25)=0,COUNTIFS($F$2:$F$51,P25,$Q$2:$Q$51,"Aprobada")&gt;0,AND(Resumen!$B$15="La cursada aprobada",COUNTIFS($F$2:$F$51,P25,$Q$2:$Q$51,"Cursada aprobada")&gt;0))),"Sí","No")))</f>
        <v>No</v>
      </c>
      <c r="S25" s="8" t="str">
        <f aca="false">TRIM(IF(NOT(OR(L25="",COUNTIF($F$2:$F$51,L25)=0,COUNTIFS($F$2:$F$51,L25,$Q$2:$Q$51,"Aprobada")&gt;0,AND(Resumen!$B$15="La cursada aprobada",COUNTIFS($F$2:$F$51,L25,$Q$2:$Q$51,"Cursada aprobada")&gt;0))),L25&amp;" ","")&amp;IF(NOT(OR(M25="",COUNTIF($F$2:$F$51,M25)=0,COUNTIFS($F$2:$F$51,M25,$Q$2:$Q$51,"Aprobada")&gt;0,AND(Resumen!$B$15="La cursada aprobada",COUNTIFS($F$2:$F$51,M25,$Q$2:$Q$51,"Cursada aprobada")&gt;0))),M25&amp;" ","")&amp;IF(NOT(OR(N25="",COUNTIF($F$2:$F$51,N25)=0,COUNTIFS($F$2:$F$51,N25,$Q$2:$Q$51,"Aprobada")&gt;0,AND(Resumen!$B$15="La cursada aprobada",COUNTIFS($F$2:$F$51,N25,$Q$2:$Q$51,"Cursada aprobada")&gt;0))),N25&amp;" ","")&amp;IF(NOT(OR(O25="",COUNTIF($F$2:$F$51,O25)=0,COUNTIFS($F$2:$F$51,O25,$Q$2:$Q$51,"Aprobada")&gt;0,AND(Resumen!$B$15="La cursada aprobada",COUNTIFS($F$2:$F$51,O25,$Q$2:$Q$51,"Cursada aprobada")&gt;0))),O25&amp;" ","")&amp;IF(NOT(OR(P25="",COUNTIF($F$2:$F$51,P25)=0,COUNTIFS($F$2:$F$51,P25,$Q$2:$Q$51,"Aprobada")&gt;0,AND(Resumen!$B$15="La cursada aprobada",COUNTIFS($F$2:$F$51,P25,$Q$2:$Q$51,"Cursada aprobada")&gt;0))),P25&amp;" ",""))</f>
        <v>1005 103 308 419</v>
      </c>
      <c r="T25" s="9" t="str">
        <f aca="false">IF(Q25="Cursada aprobada",IF(AND(OR(L25="",COUNTIF($F$2:$F$51,L25)=0,COUNTIFS($F$2:$F$51,L25,$Q$2:$Q$51,"Aprobada")&gt;0),OR(M25="",COUNTIF($F$2:$F$51,M25)=0,COUNTIFS($F$2:$F$51,M25,$Q$2:$Q$51,"Aprobada")&gt;0),OR(N25="",COUNTIF($F$2:$F$51,N25)=0,COUNTIFS($F$2:$F$51,N25,$Q$2:$Q$51,"Aprobada")&gt;0),OR(O25="",COUNTIF($F$2:$F$51,O25)=0,COUNTIFS($F$2:$F$51,O25,$Q$2:$Q$51,"Aprobada")&gt;0),OR(P25="",COUNTIF($F$2:$F$51,P25)=0,COUNTIFS($F$2:$F$51,P25,$Q$2:$Q$51,"Aprobada")&gt;0)),"Sí","No"),"")</f>
        <v/>
      </c>
      <c r="U25" s="9" t="str">
        <f aca="false">IF(Q25="Aprobada",TRIM(IF(NOT(OR(L25="",COUNTIF($F$2:$F$51,L25)=0,COUNTIFS($F$2:$F$51,L25,$Q$2:$Q$51,"Aprobada")&gt;0)),L25&amp;" ","")&amp;IF(NOT(OR(M25="",COUNTIF($F$2:$F$51,M25)=0,COUNTIFS($F$2:$F$51,M25,$Q$2:$Q$51,"Aprobada")&gt;0)),M25&amp;" ","")&amp;IF(NOT(OR(N25="",COUNTIF($F$2:$F$51,N25)=0,COUNTIFS($F$2:$F$51,N25,$Q$2:$Q$51,"Aprobada")&gt;0)),N25&amp;" ","")&amp;IF(NOT(OR(O25="",COUNTIF($F$2:$F$51,O25)=0,COUNTIFS($F$2:$F$51,O25,$Q$2:$Q$51,"Aprobada")&gt;0)),O25&amp;" ","")&amp;IF(NOT(OR(P25="",COUNTIF($F$2:$F$51,P25)=0,COUNTIFS($F$2:$F$51,P25,$Q$2:$Q$51,"Aprobada")&gt;0)),P25&amp;" ","")),IF(Q25="Cursada aprobada",TRIM(IF(NOT(OR(L25="",COUNTIF($F$2:$F$51,L25)=0,COUNTIFS($F$2:$F$51,L25,$Q$2:$Q$51,"Aprobada")&gt;0,AND(Resumen!$B$15="La cursada aprobada",COUNTIFS($F$2:$F$51,L25,$Q$2:$Q$51,"Cursada aprobada")&gt;0))),L25&amp;" ","")&amp;IF(NOT(OR(M25="",COUNTIF($F$2:$F$51,M25)=0,COUNTIFS($F$2:$F$51,M25,$Q$2:$Q$51,"Aprobada")&gt;0,AND(Resumen!$B$15="La cursada aprobada",COUNTIFS($F$2:$F$51,M25,$Q$2:$Q$51,"Cursada aprobada")&gt;0))),M25&amp;" ","")&amp;IF(NOT(OR(N25="",COUNTIF($F$2:$F$51,N25)=0,COUNTIFS($F$2:$F$51,N25,$Q$2:$Q$51,"Aprobada")&gt;0,AND(Resumen!$B$15="La cursada aprobada",COUNTIFS($F$2:$F$51,N25,$Q$2:$Q$51,"Cursada aprobada")&gt;0))),N25&amp;" ","")&amp;IF(NOT(OR(O25="",COUNTIF($F$2:$F$51,O25)=0,COUNTIFS($F$2:$F$51,O25,$Q$2:$Q$51,"Aprobada")&gt;0,AND(Resumen!$B$15="La cursada aprobada",COUNTIFS($F$2:$F$51,O25,$Q$2:$Q$51,"Cursada aprobada")&gt;0))),O25&amp;" ","")&amp;IF(NOT(OR(P25="",COUNTIF($F$2:$F$51,P25)=0,COUNTIFS($F$2:$F$51,P25,$Q$2:$Q$51,"Aprobada")&gt;0,AND(Resumen!$B$15="La cursada aprobada",COUNTIFS($F$2:$F$51,P25,$Q$2:$Q$51,"Cursada aprobada")&gt;0))),P25&amp;" ","")),""))</f>
        <v/>
      </c>
    </row>
    <row r="26" customFormat="false" ht="15" hidden="false" customHeight="false" outlineLevel="0" collapsed="false">
      <c r="A26" s="8" t="s">
        <v>209</v>
      </c>
      <c r="B26" s="8"/>
      <c r="C26" s="9" t="n">
        <v>4</v>
      </c>
      <c r="D26" s="9" t="n">
        <v>2</v>
      </c>
      <c r="E26" s="9" t="s">
        <v>99</v>
      </c>
      <c r="F26" s="9" t="n">
        <v>1007</v>
      </c>
      <c r="G26" s="8" t="s">
        <v>213</v>
      </c>
      <c r="H26" s="9" t="s">
        <v>92</v>
      </c>
      <c r="I26" s="9" t="n">
        <v>9</v>
      </c>
      <c r="J26" s="9"/>
      <c r="K26" s="9" t="n">
        <v>144</v>
      </c>
      <c r="L26" s="9" t="n">
        <v>1006</v>
      </c>
      <c r="M26" s="9"/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cursada",IF(AND(OR(L26="",COUNTIF($F$2:$F$51,L26)=0,COUNTIFS($F$2:$F$51,L26,$Q$2:$Q$51,"Aprobada")&gt;0,AND(Resumen!$B$15="La cursada aprobada",COUNTIFS($F$2:$F$51,L26,$Q$2:$Q$51,"Cursada aprobada")&gt;0)),OR(M26="",COUNTIF($F$2:$F$51,M26)=0,COUNTIFS($F$2:$F$51,M26,$Q$2:$Q$51,"Aprobada")&gt;0,AND(Resumen!$B$15="La cursada aprobada",COUNTIFS($F$2:$F$51,M26,$Q$2:$Q$51,"Cursada aprobada")&gt;0)),OR(N26="",COUNTIF($F$2:$F$51,N26)=0,COUNTIFS($F$2:$F$51,N26,$Q$2:$Q$51,"Aprobada")&gt;0,AND(Resumen!$B$15="La cursada aprobada",COUNTIFS($F$2:$F$51,N26,$Q$2:$Q$51,"Cursada aprobada")&gt;0)),OR(O26="",COUNTIF($F$2:$F$51,O26)=0,COUNTIFS($F$2:$F$51,O26,$Q$2:$Q$51,"Aprobada")&gt;0,AND(Resumen!$B$15="La cursada aprobada",COUNTIFS($F$2:$F$51,O26,$Q$2:$Q$51,"Cursada aprobada")&gt;0)),OR(P26="",COUNTIF($F$2:$F$51,P26)=0,COUNTIFS($F$2:$F$51,P26,$Q$2:$Q$51,"Aprobada")&gt;0,AND(Resumen!$B$15="La cursada aprobada",COUNTIFS($F$2:$F$51,P26,$Q$2:$Q$51,"Cursada aprobada")&gt;0))),"Sí","No")))</f>
        <v>No</v>
      </c>
      <c r="S26" s="8" t="str">
        <f aca="false">TRIM(IF(NOT(OR(L26="",COUNTIF($F$2:$F$51,L26)=0,COUNTIFS($F$2:$F$51,L26,$Q$2:$Q$51,"Aprobada")&gt;0,AND(Resumen!$B$15="La cursada aprobada",COUNTIFS($F$2:$F$51,L26,$Q$2:$Q$51,"Cursada aprobada")&gt;0))),L26&amp;" ","")&amp;IF(NOT(OR(M26="",COUNTIF($F$2:$F$51,M26)=0,COUNTIFS($F$2:$F$51,M26,$Q$2:$Q$51,"Aprobada")&gt;0,AND(Resumen!$B$15="La cursada aprobada",COUNTIFS($F$2:$F$51,M26,$Q$2:$Q$51,"Cursada aprobada")&gt;0))),M26&amp;" ","")&amp;IF(NOT(OR(N26="",COUNTIF($F$2:$F$51,N26)=0,COUNTIFS($F$2:$F$51,N26,$Q$2:$Q$51,"Aprobada")&gt;0,AND(Resumen!$B$15="La cursada aprobada",COUNTIFS($F$2:$F$51,N26,$Q$2:$Q$51,"Cursada aprobada")&gt;0))),N26&amp;" ","")&amp;IF(NOT(OR(O26="",COUNTIF($F$2:$F$51,O26)=0,COUNTIFS($F$2:$F$51,O26,$Q$2:$Q$51,"Aprobada")&gt;0,AND(Resumen!$B$15="La cursada aprobada",COUNTIFS($F$2:$F$51,O26,$Q$2:$Q$51,"Cursada aprobada")&gt;0))),O26&amp;" ","")&amp;IF(NOT(OR(P26="",COUNTIF($F$2:$F$51,P26)=0,COUNTIFS($F$2:$F$51,P26,$Q$2:$Q$51,"Aprobada")&gt;0,AND(Resumen!$B$15="La cursada aprobada",COUNTIFS($F$2:$F$51,P26,$Q$2:$Q$51,"Cursada aprobada")&gt;0))),P26&amp;" ",""))</f>
        <v>1006</v>
      </c>
      <c r="T26" s="9" t="str">
        <f aca="false">IF(Q26="Cursada aprobada",IF(AND(OR(L26="",COUNTIF($F$2:$F$51,L26)=0,COUNTIFS($F$2:$F$51,L26,$Q$2:$Q$51,"Aprobada")&gt;0),OR(M26="",COUNTIF($F$2:$F$51,M26)=0,COUNTIFS($F$2:$F$51,M26,$Q$2:$Q$51,"Aprobada")&gt;0),OR(N26="",COUNTIF($F$2:$F$51,N26)=0,COUNTIFS($F$2:$F$51,N26,$Q$2:$Q$51,"Aprobada")&gt;0),OR(O26="",COUNTIF($F$2:$F$51,O26)=0,COUNTIFS($F$2:$F$51,O26,$Q$2:$Q$51,"Aprobada")&gt;0),OR(P26="",COUNTIF($F$2:$F$51,P26)=0,COUNTIFS($F$2:$F$51,P26,$Q$2:$Q$51,"Aprobada")&gt;0)),"Sí","No"),"")</f>
        <v/>
      </c>
      <c r="U26" s="9" t="str">
        <f aca="false">IF(Q26="Aprobada",TRIM(IF(NOT(OR(L26="",COUNTIF($F$2:$F$51,L26)=0,COUNTIFS($F$2:$F$51,L26,$Q$2:$Q$51,"Aprobada")&gt;0)),L26&amp;" ","")&amp;IF(NOT(OR(M26="",COUNTIF($F$2:$F$51,M26)=0,COUNTIFS($F$2:$F$51,M26,$Q$2:$Q$51,"Aprobada")&gt;0)),M26&amp;" ","")&amp;IF(NOT(OR(N26="",COUNTIF($F$2:$F$51,N26)=0,COUNTIFS($F$2:$F$51,N26,$Q$2:$Q$51,"Aprobada")&gt;0)),N26&amp;" ","")&amp;IF(NOT(OR(O26="",COUNTIF($F$2:$F$51,O26)=0,COUNTIFS($F$2:$F$51,O26,$Q$2:$Q$51,"Aprobada")&gt;0)),O26&amp;" ","")&amp;IF(NOT(OR(P26="",COUNTIF($F$2:$F$51,P26)=0,COUNTIFS($F$2:$F$51,P26,$Q$2:$Q$51,"Aprobada")&gt;0)),P26&amp;" ","")),IF(Q26="Cursada aprobada",TRIM(IF(NOT(OR(L26="",COUNTIF($F$2:$F$51,L26)=0,COUNTIFS($F$2:$F$51,L26,$Q$2:$Q$51,"Aprobada")&gt;0,AND(Resumen!$B$15="La cursada aprobada",COUNTIFS($F$2:$F$51,L26,$Q$2:$Q$51,"Cursada aprobada")&gt;0))),L26&amp;" ","")&amp;IF(NOT(OR(M26="",COUNTIF($F$2:$F$51,M26)=0,COUNTIFS($F$2:$F$51,M26,$Q$2:$Q$51,"Aprobada")&gt;0,AND(Resumen!$B$15="La cursada aprobada",COUNTIFS($F$2:$F$51,M26,$Q$2:$Q$51,"Cursada aprobada")&gt;0))),M26&amp;" ","")&amp;IF(NOT(OR(N26="",COUNTIF($F$2:$F$51,N26)=0,COUNTIFS($F$2:$F$51,N26,$Q$2:$Q$51,"Aprobada")&gt;0,AND(Resumen!$B$15="La cursada aprobada",COUNTIFS($F$2:$F$51,N26,$Q$2:$Q$51,"Cursada aprobada")&gt;0))),N26&amp;" ","")&amp;IF(NOT(OR(O26="",COUNTIF($F$2:$F$51,O26)=0,COUNTIFS($F$2:$F$51,O26,$Q$2:$Q$51,"Aprobada")&gt;0,AND(Resumen!$B$15="La cursada aprobada",COUNTIFS($F$2:$F$51,O26,$Q$2:$Q$51,"Cursada aprobada")&gt;0))),O26&amp;" ","")&amp;IF(NOT(OR(P26="",COUNTIF($F$2:$F$51,P26)=0,COUNTIFS($F$2:$F$51,P26,$Q$2:$Q$51,"Aprobada")&gt;0,AND(Resumen!$B$15="La cursada aprobada",COUNTIFS($F$2:$F$51,P26,$Q$2:$Q$51,"Cursada aprobada")&gt;0))),P26&amp;" ","")),""))</f>
        <v/>
      </c>
    </row>
    <row r="27" customFormat="false" ht="15" hidden="false" customHeight="false" outlineLevel="0" collapsed="false">
      <c r="A27" s="8" t="s">
        <v>209</v>
      </c>
      <c r="B27" s="8"/>
      <c r="C27" s="9" t="n">
        <v>4</v>
      </c>
      <c r="D27" s="9" t="n">
        <v>2</v>
      </c>
      <c r="E27" s="9" t="s">
        <v>67</v>
      </c>
      <c r="F27" s="9" t="n">
        <v>349</v>
      </c>
      <c r="G27" s="8" t="s">
        <v>89</v>
      </c>
      <c r="H27" s="9" t="s">
        <v>61</v>
      </c>
      <c r="I27" s="9" t="n">
        <v>6</v>
      </c>
      <c r="J27" s="9"/>
      <c r="K27" s="9" t="n">
        <v>96</v>
      </c>
      <c r="L27" s="9" t="n">
        <v>103</v>
      </c>
      <c r="M27" s="9" t="n">
        <v>314</v>
      </c>
      <c r="N27" s="9" t="n">
        <v>202</v>
      </c>
      <c r="O27" s="9"/>
      <c r="P27" s="9"/>
      <c r="Q27" s="10" t="s">
        <v>62</v>
      </c>
      <c r="R27" s="9" t="str">
        <f aca="false">IF(Q27="Aprobada","Ya aprobada",IF(Q27="Cursada aprobada","Ya cursada",IF(AND(OR(L27="",COUNTIF($F$2:$F$51,L27)=0,COUNTIFS($F$2:$F$51,L27,$Q$2:$Q$51,"Aprobada")&gt;0,AND(Resumen!$B$15="La cursada aprobada",COUNTIFS($F$2:$F$51,L27,$Q$2:$Q$51,"Cursada aprobada")&gt;0)),OR(M27="",COUNTIF($F$2:$F$51,M27)=0,COUNTIFS($F$2:$F$51,M27,$Q$2:$Q$51,"Aprobada")&gt;0,AND(Resumen!$B$15="La cursada aprobada",COUNTIFS($F$2:$F$51,M27,$Q$2:$Q$51,"Cursada aprobada")&gt;0)),OR(N27="",COUNTIF($F$2:$F$51,N27)=0,COUNTIFS($F$2:$F$51,N27,$Q$2:$Q$51,"Aprobada")&gt;0,AND(Resumen!$B$15="La cursada aprobada",COUNTIFS($F$2:$F$51,N27,$Q$2:$Q$51,"Cursada aprobada")&gt;0)),OR(O27="",COUNTIF($F$2:$F$51,O27)=0,COUNTIFS($F$2:$F$51,O27,$Q$2:$Q$51,"Aprobada")&gt;0,AND(Resumen!$B$15="La cursada aprobada",COUNTIFS($F$2:$F$51,O27,$Q$2:$Q$51,"Cursada aprobada")&gt;0)),OR(P27="",COUNTIF($F$2:$F$51,P27)=0,COUNTIFS($F$2:$F$51,P27,$Q$2:$Q$51,"Aprobada")&gt;0,AND(Resumen!$B$15="La cursada aprobada",COUNTIFS($F$2:$F$51,P27,$Q$2:$Q$51,"Cursada aprobada")&gt;0))),"Sí","No")))</f>
        <v>No</v>
      </c>
      <c r="S27" s="8" t="str">
        <f aca="false">TRIM(IF(NOT(OR(L27="",COUNTIF($F$2:$F$51,L27)=0,COUNTIFS($F$2:$F$51,L27,$Q$2:$Q$51,"Aprobada")&gt;0,AND(Resumen!$B$15="La cursada aprobada",COUNTIFS($F$2:$F$51,L27,$Q$2:$Q$51,"Cursada aprobada")&gt;0))),L27&amp;" ","")&amp;IF(NOT(OR(M27="",COUNTIF($F$2:$F$51,M27)=0,COUNTIFS($F$2:$F$51,M27,$Q$2:$Q$51,"Aprobada")&gt;0,AND(Resumen!$B$15="La cursada aprobada",COUNTIFS($F$2:$F$51,M27,$Q$2:$Q$51,"Cursada aprobada")&gt;0))),M27&amp;" ","")&amp;IF(NOT(OR(N27="",COUNTIF($F$2:$F$51,N27)=0,COUNTIFS($F$2:$F$51,N27,$Q$2:$Q$51,"Aprobada")&gt;0,AND(Resumen!$B$15="La cursada aprobada",COUNTIFS($F$2:$F$51,N27,$Q$2:$Q$51,"Cursada aprobada")&gt;0))),N27&amp;" ","")&amp;IF(NOT(OR(O27="",COUNTIF($F$2:$F$51,O27)=0,COUNTIFS($F$2:$F$51,O27,$Q$2:$Q$51,"Aprobada")&gt;0,AND(Resumen!$B$15="La cursada aprobada",COUNTIFS($F$2:$F$51,O27,$Q$2:$Q$51,"Cursada aprobada")&gt;0))),O27&amp;" ","")&amp;IF(NOT(OR(P27="",COUNTIF($F$2:$F$51,P27)=0,COUNTIFS($F$2:$F$51,P27,$Q$2:$Q$51,"Aprobada")&gt;0,AND(Resumen!$B$15="La cursada aprobada",COUNTIFS($F$2:$F$51,P27,$Q$2:$Q$51,"Cursada aprobada")&gt;0))),P27&amp;" ",""))</f>
        <v>103 314 202</v>
      </c>
      <c r="T27" s="9" t="str">
        <f aca="false">IF(Q27="Cursada aprobada",IF(AND(OR(L27="",COUNTIF($F$2:$F$51,L27)=0,COUNTIFS($F$2:$F$51,L27,$Q$2:$Q$51,"Aprobada")&gt;0),OR(M27="",COUNTIF($F$2:$F$51,M27)=0,COUNTIFS($F$2:$F$51,M27,$Q$2:$Q$51,"Aprobada")&gt;0),OR(N27="",COUNTIF($F$2:$F$51,N27)=0,COUNTIFS($F$2:$F$51,N27,$Q$2:$Q$51,"Aprobada")&gt;0),OR(O27="",COUNTIF($F$2:$F$51,O27)=0,COUNTIFS($F$2:$F$51,O27,$Q$2:$Q$51,"Aprobada")&gt;0),OR(P27="",COUNTIF($F$2:$F$51,P27)=0,COUNTIFS($F$2:$F$51,P27,$Q$2:$Q$51,"Aprobada")&gt;0)),"Sí","No"),"")</f>
        <v/>
      </c>
      <c r="U27" s="9" t="str">
        <f aca="false">IF(Q27="Aprobada",TRIM(IF(NOT(OR(L27="",COUNTIF($F$2:$F$51,L27)=0,COUNTIFS($F$2:$F$51,L27,$Q$2:$Q$51,"Aprobada")&gt;0)),L27&amp;" ","")&amp;IF(NOT(OR(M27="",COUNTIF($F$2:$F$51,M27)=0,COUNTIFS($F$2:$F$51,M27,$Q$2:$Q$51,"Aprobada")&gt;0)),M27&amp;" ","")&amp;IF(NOT(OR(N27="",COUNTIF($F$2:$F$51,N27)=0,COUNTIFS($F$2:$F$51,N27,$Q$2:$Q$51,"Aprobada")&gt;0)),N27&amp;" ","")&amp;IF(NOT(OR(O27="",COUNTIF($F$2:$F$51,O27)=0,COUNTIFS($F$2:$F$51,O27,$Q$2:$Q$51,"Aprobada")&gt;0)),O27&amp;" ","")&amp;IF(NOT(OR(P27="",COUNTIF($F$2:$F$51,P27)=0,COUNTIFS($F$2:$F$51,P27,$Q$2:$Q$51,"Aprobada")&gt;0)),P27&amp;" ","")),IF(Q27="Cursada aprobada",TRIM(IF(NOT(OR(L27="",COUNTIF($F$2:$F$51,L27)=0,COUNTIFS($F$2:$F$51,L27,$Q$2:$Q$51,"Aprobada")&gt;0,AND(Resumen!$B$15="La cursada aprobada",COUNTIFS($F$2:$F$51,L27,$Q$2:$Q$51,"Cursada aprobada")&gt;0))),L27&amp;" ","")&amp;IF(NOT(OR(M27="",COUNTIF($F$2:$F$51,M27)=0,COUNTIFS($F$2:$F$51,M27,$Q$2:$Q$51,"Aprobada")&gt;0,AND(Resumen!$B$15="La cursada aprobada",COUNTIFS($F$2:$F$51,M27,$Q$2:$Q$51,"Cursada aprobada")&gt;0))),M27&amp;" ","")&amp;IF(NOT(OR(N27="",COUNTIF($F$2:$F$51,N27)=0,COUNTIFS($F$2:$F$51,N27,$Q$2:$Q$51,"Aprobada")&gt;0,AND(Resumen!$B$15="La cursada aprobada",COUNTIFS($F$2:$F$51,N27,$Q$2:$Q$51,"Cursada aprobada")&gt;0))),N27&amp;" ","")&amp;IF(NOT(OR(O27="",COUNTIF($F$2:$F$51,O27)=0,COUNTIFS($F$2:$F$51,O27,$Q$2:$Q$51,"Aprobada")&gt;0,AND(Resumen!$B$15="La cursada aprobada",COUNTIFS($F$2:$F$51,O27,$Q$2:$Q$51,"Cursada aprobada")&gt;0))),O27&amp;" ","")&amp;IF(NOT(OR(P27="",COUNTIF($F$2:$F$51,P27)=0,COUNTIFS($F$2:$F$51,P27,$Q$2:$Q$51,"Aprobada")&gt;0,AND(Resumen!$B$15="La cursada aprobada",COUNTIFS($F$2:$F$51,P27,$Q$2:$Q$51,"Cursada aprobada")&gt;0))),P27&amp;" ","")),""))</f>
        <v/>
      </c>
    </row>
    <row r="28" customFormat="false" ht="15" hidden="false" customHeight="false" outlineLevel="0" collapsed="false">
      <c r="A28" s="8" t="s">
        <v>214</v>
      </c>
      <c r="B28" s="8" t="s">
        <v>215</v>
      </c>
      <c r="C28" s="9" t="s">
        <v>216</v>
      </c>
      <c r="D28" s="9" t="n">
        <v>1</v>
      </c>
      <c r="E28" s="9" t="s">
        <v>217</v>
      </c>
      <c r="F28" s="9" t="n">
        <v>1011</v>
      </c>
      <c r="G28" s="8" t="s">
        <v>218</v>
      </c>
      <c r="H28" s="9"/>
      <c r="I28" s="9" t="n">
        <v>6</v>
      </c>
      <c r="J28" s="9"/>
      <c r="K28" s="9" t="n">
        <v>96</v>
      </c>
      <c r="L28" s="9" t="n">
        <v>280</v>
      </c>
      <c r="M28" s="9" t="n">
        <v>419</v>
      </c>
      <c r="N28" s="9"/>
      <c r="O28" s="9"/>
      <c r="P28" s="9"/>
      <c r="Q28" s="10" t="s">
        <v>62</v>
      </c>
      <c r="R28" s="9" t="str">
        <f aca="false">IF(Q28="Aprobada","Ya aprobada",IF(Q28="Cursada aprobada","Ya cursada",IF(AND(OR(L28="",COUNTIF($F$2:$F$51,L28)=0,COUNTIFS($F$2:$F$51,L28,$Q$2:$Q$51,"Aprobada")&gt;0,AND(Resumen!$B$15="La cursada aprobada",COUNTIFS($F$2:$F$51,L28,$Q$2:$Q$51,"Cursada aprobada")&gt;0)),OR(M28="",COUNTIF($F$2:$F$51,M28)=0,COUNTIFS($F$2:$F$51,M28,$Q$2:$Q$51,"Aprobada")&gt;0,AND(Resumen!$B$15="La cursada aprobada",COUNTIFS($F$2:$F$51,M28,$Q$2:$Q$51,"Cursada aprobada")&gt;0)),OR(N28="",COUNTIF($F$2:$F$51,N28)=0,COUNTIFS($F$2:$F$51,N28,$Q$2:$Q$51,"Aprobada")&gt;0,AND(Resumen!$B$15="La cursada aprobada",COUNTIFS($F$2:$F$51,N28,$Q$2:$Q$51,"Cursada aprobada")&gt;0)),OR(O28="",COUNTIF($F$2:$F$51,O28)=0,COUNTIFS($F$2:$F$51,O28,$Q$2:$Q$51,"Aprobada")&gt;0,AND(Resumen!$B$15="La cursada aprobada",COUNTIFS($F$2:$F$51,O28,$Q$2:$Q$51,"Cursada aprobada")&gt;0)),OR(P28="",COUNTIF($F$2:$F$51,P28)=0,COUNTIFS($F$2:$F$51,P28,$Q$2:$Q$51,"Aprobada")&gt;0,AND(Resumen!$B$15="La cursada aprobada",COUNTIFS($F$2:$F$51,P28,$Q$2:$Q$51,"Cursada aprobada")&gt;0))),"Sí","No")))</f>
        <v>No</v>
      </c>
      <c r="S28" s="8" t="str">
        <f aca="false">TRIM(IF(NOT(OR(L28="",COUNTIF($F$2:$F$51,L28)=0,COUNTIFS($F$2:$F$51,L28,$Q$2:$Q$51,"Aprobada")&gt;0,AND(Resumen!$B$15="La cursada aprobada",COUNTIFS($F$2:$F$51,L28,$Q$2:$Q$51,"Cursada aprobada")&gt;0))),L28&amp;" ","")&amp;IF(NOT(OR(M28="",COUNTIF($F$2:$F$51,M28)=0,COUNTIFS($F$2:$F$51,M28,$Q$2:$Q$51,"Aprobada")&gt;0,AND(Resumen!$B$15="La cursada aprobada",COUNTIFS($F$2:$F$51,M28,$Q$2:$Q$51,"Cursada aprobada")&gt;0))),M28&amp;" ","")&amp;IF(NOT(OR(N28="",COUNTIF($F$2:$F$51,N28)=0,COUNTIFS($F$2:$F$51,N28,$Q$2:$Q$51,"Aprobada")&gt;0,AND(Resumen!$B$15="La cursada aprobada",COUNTIFS($F$2:$F$51,N28,$Q$2:$Q$51,"Cursada aprobada")&gt;0))),N28&amp;" ","")&amp;IF(NOT(OR(O28="",COUNTIF($F$2:$F$51,O28)=0,COUNTIFS($F$2:$F$51,O28,$Q$2:$Q$51,"Aprobada")&gt;0,AND(Resumen!$B$15="La cursada aprobada",COUNTIFS($F$2:$F$51,O28,$Q$2:$Q$51,"Cursada aprobada")&gt;0))),O28&amp;" ","")&amp;IF(NOT(OR(P28="",COUNTIF($F$2:$F$51,P28)=0,COUNTIFS($F$2:$F$51,P28,$Q$2:$Q$51,"Aprobada")&gt;0,AND(Resumen!$B$15="La cursada aprobada",COUNTIFS($F$2:$F$51,P28,$Q$2:$Q$51,"Cursada aprobada")&gt;0))),P28&amp;" ",""))</f>
        <v>280 419</v>
      </c>
      <c r="T28" s="9" t="str">
        <f aca="false">IF(Q28="Cursada aprobada",IF(AND(OR(L28="",COUNTIF($F$2:$F$51,L28)=0,COUNTIFS($F$2:$F$51,L28,$Q$2:$Q$51,"Aprobada")&gt;0),OR(M28="",COUNTIF($F$2:$F$51,M28)=0,COUNTIFS($F$2:$F$51,M28,$Q$2:$Q$51,"Aprobada")&gt;0),OR(N28="",COUNTIF($F$2:$F$51,N28)=0,COUNTIFS($F$2:$F$51,N28,$Q$2:$Q$51,"Aprobada")&gt;0),OR(O28="",COUNTIF($F$2:$F$51,O28)=0,COUNTIFS($F$2:$F$51,O28,$Q$2:$Q$51,"Aprobada")&gt;0),OR(P28="",COUNTIF($F$2:$F$51,P28)=0,COUNTIFS($F$2:$F$51,P28,$Q$2:$Q$51,"Aprobada")&gt;0)),"Sí","No"),"")</f>
        <v/>
      </c>
      <c r="U28" s="9" t="str">
        <f aca="false">IF(Q28="Aprobada",TRIM(IF(NOT(OR(L28="",COUNTIF($F$2:$F$51,L28)=0,COUNTIFS($F$2:$F$51,L28,$Q$2:$Q$51,"Aprobada")&gt;0)),L28&amp;" ","")&amp;IF(NOT(OR(M28="",COUNTIF($F$2:$F$51,M28)=0,COUNTIFS($F$2:$F$51,M28,$Q$2:$Q$51,"Aprobada")&gt;0)),M28&amp;" ","")&amp;IF(NOT(OR(N28="",COUNTIF($F$2:$F$51,N28)=0,COUNTIFS($F$2:$F$51,N28,$Q$2:$Q$51,"Aprobada")&gt;0)),N28&amp;" ","")&amp;IF(NOT(OR(O28="",COUNTIF($F$2:$F$51,O28)=0,COUNTIFS($F$2:$F$51,O28,$Q$2:$Q$51,"Aprobada")&gt;0)),O28&amp;" ","")&amp;IF(NOT(OR(P28="",COUNTIF($F$2:$F$51,P28)=0,COUNTIFS($F$2:$F$51,P28,$Q$2:$Q$51,"Aprobada")&gt;0)),P28&amp;" ","")),IF(Q28="Cursada aprobada",TRIM(IF(NOT(OR(L28="",COUNTIF($F$2:$F$51,L28)=0,COUNTIFS($F$2:$F$51,L28,$Q$2:$Q$51,"Aprobada")&gt;0,AND(Resumen!$B$15="La cursada aprobada",COUNTIFS($F$2:$F$51,L28,$Q$2:$Q$51,"Cursada aprobada")&gt;0))),L28&amp;" ","")&amp;IF(NOT(OR(M28="",COUNTIF($F$2:$F$51,M28)=0,COUNTIFS($F$2:$F$51,M28,$Q$2:$Q$51,"Aprobada")&gt;0,AND(Resumen!$B$15="La cursada aprobada",COUNTIFS($F$2:$F$51,M28,$Q$2:$Q$51,"Cursada aprobada")&gt;0))),M28&amp;" ","")&amp;IF(NOT(OR(N28="",COUNTIF($F$2:$F$51,N28)=0,COUNTIFS($F$2:$F$51,N28,$Q$2:$Q$51,"Aprobada")&gt;0,AND(Resumen!$B$15="La cursada aprobada",COUNTIFS($F$2:$F$51,N28,$Q$2:$Q$51,"Cursada aprobada")&gt;0))),N28&amp;" ","")&amp;IF(NOT(OR(O28="",COUNTIF($F$2:$F$51,O28)=0,COUNTIFS($F$2:$F$51,O28,$Q$2:$Q$51,"Aprobada")&gt;0,AND(Resumen!$B$15="La cursada aprobada",COUNTIFS($F$2:$F$51,O28,$Q$2:$Q$51,"Cursada aprobada")&gt;0))),O28&amp;" ","")&amp;IF(NOT(OR(P28="",COUNTIF($F$2:$F$51,P28)=0,COUNTIFS($F$2:$F$51,P28,$Q$2:$Q$51,"Aprobada")&gt;0,AND(Resumen!$B$15="La cursada aprobada",COUNTIFS($F$2:$F$51,P28,$Q$2:$Q$51,"Cursada aprobada")&gt;0))),P28&amp;" ","")),""))</f>
        <v/>
      </c>
    </row>
    <row r="29" customFormat="false" ht="15" hidden="false" customHeight="false" outlineLevel="0" collapsed="false">
      <c r="A29" s="8" t="s">
        <v>214</v>
      </c>
      <c r="B29" s="8" t="s">
        <v>215</v>
      </c>
      <c r="C29" s="9" t="s">
        <v>216</v>
      </c>
      <c r="D29" s="9" t="n">
        <v>1</v>
      </c>
      <c r="E29" s="9" t="s">
        <v>217</v>
      </c>
      <c r="F29" s="9" t="n">
        <v>1012</v>
      </c>
      <c r="G29" s="8" t="s">
        <v>219</v>
      </c>
      <c r="H29" s="9"/>
      <c r="I29" s="9" t="n">
        <v>6</v>
      </c>
      <c r="J29" s="9"/>
      <c r="K29" s="9" t="n">
        <v>96</v>
      </c>
      <c r="L29" s="9"/>
      <c r="M29" s="9"/>
      <c r="N29" s="9"/>
      <c r="O29" s="9"/>
      <c r="P29" s="9"/>
      <c r="Q29" s="10" t="s">
        <v>62</v>
      </c>
      <c r="R29" s="9" t="str">
        <f aca="false">IF(Q29="Aprobada","Ya aprobada",IF(Q29="Cursada aprobada","Ya cursada",IF(AND(OR(L29="",COUNTIF($F$2:$F$51,L29)=0,COUNTIFS($F$2:$F$51,L29,$Q$2:$Q$51,"Aprobada")&gt;0,AND(Resumen!$B$15="La cursada aprobada",COUNTIFS($F$2:$F$51,L29,$Q$2:$Q$51,"Cursada aprobada")&gt;0)),OR(M29="",COUNTIF($F$2:$F$51,M29)=0,COUNTIFS($F$2:$F$51,M29,$Q$2:$Q$51,"Aprobada")&gt;0,AND(Resumen!$B$15="La cursada aprobada",COUNTIFS($F$2:$F$51,M29,$Q$2:$Q$51,"Cursada aprobada")&gt;0)),OR(N29="",COUNTIF($F$2:$F$51,N29)=0,COUNTIFS($F$2:$F$51,N29,$Q$2:$Q$51,"Aprobada")&gt;0,AND(Resumen!$B$15="La cursada aprobada",COUNTIFS($F$2:$F$51,N29,$Q$2:$Q$51,"Cursada aprobada")&gt;0)),OR(O29="",COUNTIF($F$2:$F$51,O29)=0,COUNTIFS($F$2:$F$51,O29,$Q$2:$Q$51,"Aprobada")&gt;0,AND(Resumen!$B$15="La cursada aprobada",COUNTIFS($F$2:$F$51,O29,$Q$2:$Q$51,"Cursada aprobada")&gt;0)),OR(P29="",COUNTIF($F$2:$F$51,P29)=0,COUNTIFS($F$2:$F$51,P29,$Q$2:$Q$51,"Aprobada")&gt;0,AND(Resumen!$B$15="La cursada aprobada",COUNTIFS($F$2:$F$51,P29,$Q$2:$Q$51,"Cursada aprobada")&gt;0))),"Sí","No")))</f>
        <v>Sí</v>
      </c>
      <c r="S29" s="8" t="str">
        <f aca="false">TRIM(IF(NOT(OR(L29="",COUNTIF($F$2:$F$51,L29)=0,COUNTIFS($F$2:$F$51,L29,$Q$2:$Q$51,"Aprobada")&gt;0,AND(Resumen!$B$15="La cursada aprobada",COUNTIFS($F$2:$F$51,L29,$Q$2:$Q$51,"Cursada aprobada")&gt;0))),L29&amp;" ","")&amp;IF(NOT(OR(M29="",COUNTIF($F$2:$F$51,M29)=0,COUNTIFS($F$2:$F$51,M29,$Q$2:$Q$51,"Aprobada")&gt;0,AND(Resumen!$B$15="La cursada aprobada",COUNTIFS($F$2:$F$51,M29,$Q$2:$Q$51,"Cursada aprobada")&gt;0))),M29&amp;" ","")&amp;IF(NOT(OR(N29="",COUNTIF($F$2:$F$51,N29)=0,COUNTIFS($F$2:$F$51,N29,$Q$2:$Q$51,"Aprobada")&gt;0,AND(Resumen!$B$15="La cursada aprobada",COUNTIFS($F$2:$F$51,N29,$Q$2:$Q$51,"Cursada aprobada")&gt;0))),N29&amp;" ","")&amp;IF(NOT(OR(O29="",COUNTIF($F$2:$F$51,O29)=0,COUNTIFS($F$2:$F$51,O29,$Q$2:$Q$51,"Aprobada")&gt;0,AND(Resumen!$B$15="La cursada aprobada",COUNTIFS($F$2:$F$51,O29,$Q$2:$Q$51,"Cursada aprobada")&gt;0))),O29&amp;" ","")&amp;IF(NOT(OR(P29="",COUNTIF($F$2:$F$51,P29)=0,COUNTIFS($F$2:$F$51,P29,$Q$2:$Q$51,"Aprobada")&gt;0,AND(Resumen!$B$15="La cursada aprobada",COUNTIFS($F$2:$F$51,P29,$Q$2:$Q$51,"Cursada aprobada")&gt;0))),P29&amp;" ",""))</f>
        <v/>
      </c>
      <c r="T29" s="9" t="str">
        <f aca="false">IF(Q29="Cursada aprobada",IF(AND(OR(L29="",COUNTIF($F$2:$F$51,L29)=0,COUNTIFS($F$2:$F$51,L29,$Q$2:$Q$51,"Aprobada")&gt;0),OR(M29="",COUNTIF($F$2:$F$51,M29)=0,COUNTIFS($F$2:$F$51,M29,$Q$2:$Q$51,"Aprobada")&gt;0),OR(N29="",COUNTIF($F$2:$F$51,N29)=0,COUNTIFS($F$2:$F$51,N29,$Q$2:$Q$51,"Aprobada")&gt;0),OR(O29="",COUNTIF($F$2:$F$51,O29)=0,COUNTIFS($F$2:$F$51,O29,$Q$2:$Q$51,"Aprobada")&gt;0),OR(P29="",COUNTIF($F$2:$F$51,P29)=0,COUNTIFS($F$2:$F$51,P29,$Q$2:$Q$51,"Aprobada")&gt;0)),"Sí","No"),"")</f>
        <v/>
      </c>
      <c r="U29" s="9" t="str">
        <f aca="false">IF(Q29="Aprobada",TRIM(IF(NOT(OR(L29="",COUNTIF($F$2:$F$51,L29)=0,COUNTIFS($F$2:$F$51,L29,$Q$2:$Q$51,"Aprobada")&gt;0)),L29&amp;" ","")&amp;IF(NOT(OR(M29="",COUNTIF($F$2:$F$51,M29)=0,COUNTIFS($F$2:$F$51,M29,$Q$2:$Q$51,"Aprobada")&gt;0)),M29&amp;" ","")&amp;IF(NOT(OR(N29="",COUNTIF($F$2:$F$51,N29)=0,COUNTIFS($F$2:$F$51,N29,$Q$2:$Q$51,"Aprobada")&gt;0)),N29&amp;" ","")&amp;IF(NOT(OR(O29="",COUNTIF($F$2:$F$51,O29)=0,COUNTIFS($F$2:$F$51,O29,$Q$2:$Q$51,"Aprobada")&gt;0)),O29&amp;" ","")&amp;IF(NOT(OR(P29="",COUNTIF($F$2:$F$51,P29)=0,COUNTIFS($F$2:$F$51,P29,$Q$2:$Q$51,"Aprobada")&gt;0)),P29&amp;" ","")),IF(Q29="Cursada aprobada",TRIM(IF(NOT(OR(L29="",COUNTIF($F$2:$F$51,L29)=0,COUNTIFS($F$2:$F$51,L29,$Q$2:$Q$51,"Aprobada")&gt;0,AND(Resumen!$B$15="La cursada aprobada",COUNTIFS($F$2:$F$51,L29,$Q$2:$Q$51,"Cursada aprobada")&gt;0))),L29&amp;" ","")&amp;IF(NOT(OR(M29="",COUNTIF($F$2:$F$51,M29)=0,COUNTIFS($F$2:$F$51,M29,$Q$2:$Q$51,"Aprobada")&gt;0,AND(Resumen!$B$15="La cursada aprobada",COUNTIFS($F$2:$F$51,M29,$Q$2:$Q$51,"Cursada aprobada")&gt;0))),M29&amp;" ","")&amp;IF(NOT(OR(N29="",COUNTIF($F$2:$F$51,N29)=0,COUNTIFS($F$2:$F$51,N29,$Q$2:$Q$51,"Aprobada")&gt;0,AND(Resumen!$B$15="La cursada aprobada",COUNTIFS($F$2:$F$51,N29,$Q$2:$Q$51,"Cursada aprobada")&gt;0))),N29&amp;" ","")&amp;IF(NOT(OR(O29="",COUNTIF($F$2:$F$51,O29)=0,COUNTIFS($F$2:$F$51,O29,$Q$2:$Q$51,"Aprobada")&gt;0,AND(Resumen!$B$15="La cursada aprobada",COUNTIFS($F$2:$F$51,O29,$Q$2:$Q$51,"Cursada aprobada")&gt;0))),O29&amp;" ","")&amp;IF(NOT(OR(P29="",COUNTIF($F$2:$F$51,P29)=0,COUNTIFS($F$2:$F$51,P29,$Q$2:$Q$51,"Aprobada")&gt;0,AND(Resumen!$B$15="La cursada aprobada",COUNTIFS($F$2:$F$51,P29,$Q$2:$Q$51,"Cursada aprobada")&gt;0))),P29&amp;" ","")),""))</f>
        <v/>
      </c>
    </row>
    <row r="30" customFormat="false" ht="15" hidden="false" customHeight="false" outlineLevel="0" collapsed="false">
      <c r="A30" s="8" t="s">
        <v>214</v>
      </c>
      <c r="B30" s="8" t="s">
        <v>215</v>
      </c>
      <c r="C30" s="9" t="s">
        <v>216</v>
      </c>
      <c r="D30" s="9" t="n">
        <v>1</v>
      </c>
      <c r="E30" s="9" t="s">
        <v>217</v>
      </c>
      <c r="F30" s="9" t="n">
        <v>1013</v>
      </c>
      <c r="G30" s="8" t="s">
        <v>220</v>
      </c>
      <c r="H30" s="9"/>
      <c r="I30" s="9" t="n">
        <v>6</v>
      </c>
      <c r="J30" s="9"/>
      <c r="K30" s="9" t="n">
        <v>96</v>
      </c>
      <c r="L30" s="9"/>
      <c r="M30" s="9"/>
      <c r="N30" s="9"/>
      <c r="O30" s="9"/>
      <c r="P30" s="9"/>
      <c r="Q30" s="10" t="s">
        <v>62</v>
      </c>
      <c r="R30" s="9" t="str">
        <f aca="false">IF(Q30="Aprobada","Ya aprobada",IF(Q30="Cursada aprobada","Ya cursada",IF(AND(OR(L30="",COUNTIF($F$2:$F$51,L30)=0,COUNTIFS($F$2:$F$51,L30,$Q$2:$Q$51,"Aprobada")&gt;0,AND(Resumen!$B$15="La cursada aprobada",COUNTIFS($F$2:$F$51,L30,$Q$2:$Q$51,"Cursada aprobada")&gt;0)),OR(M30="",COUNTIF($F$2:$F$51,M30)=0,COUNTIFS($F$2:$F$51,M30,$Q$2:$Q$51,"Aprobada")&gt;0,AND(Resumen!$B$15="La cursada aprobada",COUNTIFS($F$2:$F$51,M30,$Q$2:$Q$51,"Cursada aprobada")&gt;0)),OR(N30="",COUNTIF($F$2:$F$51,N30)=0,COUNTIFS($F$2:$F$51,N30,$Q$2:$Q$51,"Aprobada")&gt;0,AND(Resumen!$B$15="La cursada aprobada",COUNTIFS($F$2:$F$51,N30,$Q$2:$Q$51,"Cursada aprobada")&gt;0)),OR(O30="",COUNTIF($F$2:$F$51,O30)=0,COUNTIFS($F$2:$F$51,O30,$Q$2:$Q$51,"Aprobada")&gt;0,AND(Resumen!$B$15="La cursada aprobada",COUNTIFS($F$2:$F$51,O30,$Q$2:$Q$51,"Cursada aprobada")&gt;0)),OR(P30="",COUNTIF($F$2:$F$51,P30)=0,COUNTIFS($F$2:$F$51,P30,$Q$2:$Q$51,"Aprobada")&gt;0,AND(Resumen!$B$15="La cursada aprobada",COUNTIFS($F$2:$F$51,P30,$Q$2:$Q$51,"Cursada aprobada")&gt;0))),"Sí","No")))</f>
        <v>Sí</v>
      </c>
      <c r="S30" s="8" t="str">
        <f aca="false">TRIM(IF(NOT(OR(L30="",COUNTIF($F$2:$F$51,L30)=0,COUNTIFS($F$2:$F$51,L30,$Q$2:$Q$51,"Aprobada")&gt;0,AND(Resumen!$B$15="La cursada aprobada",COUNTIFS($F$2:$F$51,L30,$Q$2:$Q$51,"Cursada aprobada")&gt;0))),L30&amp;" ","")&amp;IF(NOT(OR(M30="",COUNTIF($F$2:$F$51,M30)=0,COUNTIFS($F$2:$F$51,M30,$Q$2:$Q$51,"Aprobada")&gt;0,AND(Resumen!$B$15="La cursada aprobada",COUNTIFS($F$2:$F$51,M30,$Q$2:$Q$51,"Cursada aprobada")&gt;0))),M30&amp;" ","")&amp;IF(NOT(OR(N30="",COUNTIF($F$2:$F$51,N30)=0,COUNTIFS($F$2:$F$51,N30,$Q$2:$Q$51,"Aprobada")&gt;0,AND(Resumen!$B$15="La cursada aprobada",COUNTIFS($F$2:$F$51,N30,$Q$2:$Q$51,"Cursada aprobada")&gt;0))),N30&amp;" ","")&amp;IF(NOT(OR(O30="",COUNTIF($F$2:$F$51,O30)=0,COUNTIFS($F$2:$F$51,O30,$Q$2:$Q$51,"Aprobada")&gt;0,AND(Resumen!$B$15="La cursada aprobada",COUNTIFS($F$2:$F$51,O30,$Q$2:$Q$51,"Cursada aprobada")&gt;0))),O30&amp;" ","")&amp;IF(NOT(OR(P30="",COUNTIF($F$2:$F$51,P30)=0,COUNTIFS($F$2:$F$51,P30,$Q$2:$Q$51,"Aprobada")&gt;0,AND(Resumen!$B$15="La cursada aprobada",COUNTIFS($F$2:$F$51,P30,$Q$2:$Q$51,"Cursada aprobada")&gt;0))),P30&amp;" ",""))</f>
        <v/>
      </c>
      <c r="T30" s="9" t="str">
        <f aca="false">IF(Q30="Cursada aprobada",IF(AND(OR(L30="",COUNTIF($F$2:$F$51,L30)=0,COUNTIFS($F$2:$F$51,L30,$Q$2:$Q$51,"Aprobada")&gt;0),OR(M30="",COUNTIF($F$2:$F$51,M30)=0,COUNTIFS($F$2:$F$51,M30,$Q$2:$Q$51,"Aprobada")&gt;0),OR(N30="",COUNTIF($F$2:$F$51,N30)=0,COUNTIFS($F$2:$F$51,N30,$Q$2:$Q$51,"Aprobada")&gt;0),OR(O30="",COUNTIF($F$2:$F$51,O30)=0,COUNTIFS($F$2:$F$51,O30,$Q$2:$Q$51,"Aprobada")&gt;0),OR(P30="",COUNTIF($F$2:$F$51,P30)=0,COUNTIFS($F$2:$F$51,P30,$Q$2:$Q$51,"Aprobada")&gt;0)),"Sí","No"),"")</f>
        <v/>
      </c>
      <c r="U30" s="9" t="str">
        <f aca="false">IF(Q30="Aprobada",TRIM(IF(NOT(OR(L30="",COUNTIF($F$2:$F$51,L30)=0,COUNTIFS($F$2:$F$51,L30,$Q$2:$Q$51,"Aprobada")&gt;0)),L30&amp;" ","")&amp;IF(NOT(OR(M30="",COUNTIF($F$2:$F$51,M30)=0,COUNTIFS($F$2:$F$51,M30,$Q$2:$Q$51,"Aprobada")&gt;0)),M30&amp;" ","")&amp;IF(NOT(OR(N30="",COUNTIF($F$2:$F$51,N30)=0,COUNTIFS($F$2:$F$51,N30,$Q$2:$Q$51,"Aprobada")&gt;0)),N30&amp;" ","")&amp;IF(NOT(OR(O30="",COUNTIF($F$2:$F$51,O30)=0,COUNTIFS($F$2:$F$51,O30,$Q$2:$Q$51,"Aprobada")&gt;0)),O30&amp;" ","")&amp;IF(NOT(OR(P30="",COUNTIF($F$2:$F$51,P30)=0,COUNTIFS($F$2:$F$51,P30,$Q$2:$Q$51,"Aprobada")&gt;0)),P30&amp;" ","")),IF(Q30="Cursada aprobada",TRIM(IF(NOT(OR(L30="",COUNTIF($F$2:$F$51,L30)=0,COUNTIFS($F$2:$F$51,L30,$Q$2:$Q$51,"Aprobada")&gt;0,AND(Resumen!$B$15="La cursada aprobada",COUNTIFS($F$2:$F$51,L30,$Q$2:$Q$51,"Cursada aprobada")&gt;0))),L30&amp;" ","")&amp;IF(NOT(OR(M30="",COUNTIF($F$2:$F$51,M30)=0,COUNTIFS($F$2:$F$51,M30,$Q$2:$Q$51,"Aprobada")&gt;0,AND(Resumen!$B$15="La cursada aprobada",COUNTIFS($F$2:$F$51,M30,$Q$2:$Q$51,"Cursada aprobada")&gt;0))),M30&amp;" ","")&amp;IF(NOT(OR(N30="",COUNTIF($F$2:$F$51,N30)=0,COUNTIFS($F$2:$F$51,N30,$Q$2:$Q$51,"Aprobada")&gt;0,AND(Resumen!$B$15="La cursada aprobada",COUNTIFS($F$2:$F$51,N30,$Q$2:$Q$51,"Cursada aprobada")&gt;0))),N30&amp;" ","")&amp;IF(NOT(OR(O30="",COUNTIF($F$2:$F$51,O30)=0,COUNTIFS($F$2:$F$51,O30,$Q$2:$Q$51,"Aprobada")&gt;0,AND(Resumen!$B$15="La cursada aprobada",COUNTIFS($F$2:$F$51,O30,$Q$2:$Q$51,"Cursada aprobada")&gt;0))),O30&amp;" ","")&amp;IF(NOT(OR(P30="",COUNTIF($F$2:$F$51,P30)=0,COUNTIFS($F$2:$F$51,P30,$Q$2:$Q$51,"Aprobada")&gt;0,AND(Resumen!$B$15="La cursada aprobada",COUNTIFS($F$2:$F$51,P30,$Q$2:$Q$51,"Cursada aprobada")&gt;0))),P30&amp;" ","")),""))</f>
        <v/>
      </c>
    </row>
    <row r="31" customFormat="false" ht="15" hidden="false" customHeight="false" outlineLevel="0" collapsed="false">
      <c r="A31" s="8" t="s">
        <v>214</v>
      </c>
      <c r="B31" s="8" t="s">
        <v>215</v>
      </c>
      <c r="C31" s="9" t="s">
        <v>216</v>
      </c>
      <c r="D31" s="9" t="n">
        <v>1</v>
      </c>
      <c r="E31" s="9" t="s">
        <v>217</v>
      </c>
      <c r="F31" s="9" t="n">
        <v>1014</v>
      </c>
      <c r="G31" s="8" t="s">
        <v>221</v>
      </c>
      <c r="H31" s="9"/>
      <c r="I31" s="9" t="n">
        <v>6</v>
      </c>
      <c r="J31" s="9"/>
      <c r="K31" s="9" t="n">
        <v>96</v>
      </c>
      <c r="L31" s="9"/>
      <c r="M31" s="9"/>
      <c r="N31" s="9"/>
      <c r="O31" s="9"/>
      <c r="P31" s="9"/>
      <c r="Q31" s="10" t="s">
        <v>62</v>
      </c>
      <c r="R31" s="9" t="str">
        <f aca="false">IF(Q31="Aprobada","Ya aprobada",IF(Q31="Cursada aprobada","Ya cursada",IF(AND(OR(L31="",COUNTIF($F$2:$F$51,L31)=0,COUNTIFS($F$2:$F$51,L31,$Q$2:$Q$51,"Aprobada")&gt;0,AND(Resumen!$B$15="La cursada aprobada",COUNTIFS($F$2:$F$51,L31,$Q$2:$Q$51,"Cursada aprobada")&gt;0)),OR(M31="",COUNTIF($F$2:$F$51,M31)=0,COUNTIFS($F$2:$F$51,M31,$Q$2:$Q$51,"Aprobada")&gt;0,AND(Resumen!$B$15="La cursada aprobada",COUNTIFS($F$2:$F$51,M31,$Q$2:$Q$51,"Cursada aprobada")&gt;0)),OR(N31="",COUNTIF($F$2:$F$51,N31)=0,COUNTIFS($F$2:$F$51,N31,$Q$2:$Q$51,"Aprobada")&gt;0,AND(Resumen!$B$15="La cursada aprobada",COUNTIFS($F$2:$F$51,N31,$Q$2:$Q$51,"Cursada aprobada")&gt;0)),OR(O31="",COUNTIF($F$2:$F$51,O31)=0,COUNTIFS($F$2:$F$51,O31,$Q$2:$Q$51,"Aprobada")&gt;0,AND(Resumen!$B$15="La cursada aprobada",COUNTIFS($F$2:$F$51,O31,$Q$2:$Q$51,"Cursada aprobada")&gt;0)),OR(P31="",COUNTIF($F$2:$F$51,P31)=0,COUNTIFS($F$2:$F$51,P31,$Q$2:$Q$51,"Aprobada")&gt;0,AND(Resumen!$B$15="La cursada aprobada",COUNTIFS($F$2:$F$51,P31,$Q$2:$Q$51,"Cursada aprobada")&gt;0))),"Sí","No")))</f>
        <v>Sí</v>
      </c>
      <c r="S31" s="8" t="str">
        <f aca="false">TRIM(IF(NOT(OR(L31="",COUNTIF($F$2:$F$51,L31)=0,COUNTIFS($F$2:$F$51,L31,$Q$2:$Q$51,"Aprobada")&gt;0,AND(Resumen!$B$15="La cursada aprobada",COUNTIFS($F$2:$F$51,L31,$Q$2:$Q$51,"Cursada aprobada")&gt;0))),L31&amp;" ","")&amp;IF(NOT(OR(M31="",COUNTIF($F$2:$F$51,M31)=0,COUNTIFS($F$2:$F$51,M31,$Q$2:$Q$51,"Aprobada")&gt;0,AND(Resumen!$B$15="La cursada aprobada",COUNTIFS($F$2:$F$51,M31,$Q$2:$Q$51,"Cursada aprobada")&gt;0))),M31&amp;" ","")&amp;IF(NOT(OR(N31="",COUNTIF($F$2:$F$51,N31)=0,COUNTIFS($F$2:$F$51,N31,$Q$2:$Q$51,"Aprobada")&gt;0,AND(Resumen!$B$15="La cursada aprobada",COUNTIFS($F$2:$F$51,N31,$Q$2:$Q$51,"Cursada aprobada")&gt;0))),N31&amp;" ","")&amp;IF(NOT(OR(O31="",COUNTIF($F$2:$F$51,O31)=0,COUNTIFS($F$2:$F$51,O31,$Q$2:$Q$51,"Aprobada")&gt;0,AND(Resumen!$B$15="La cursada aprobada",COUNTIFS($F$2:$F$51,O31,$Q$2:$Q$51,"Cursada aprobada")&gt;0))),O31&amp;" ","")&amp;IF(NOT(OR(P31="",COUNTIF($F$2:$F$51,P31)=0,COUNTIFS($F$2:$F$51,P31,$Q$2:$Q$51,"Aprobada")&gt;0,AND(Resumen!$B$15="La cursada aprobada",COUNTIFS($F$2:$F$51,P31,$Q$2:$Q$51,"Cursada aprobada")&gt;0))),P31&amp;" ",""))</f>
        <v/>
      </c>
      <c r="T31" s="9" t="str">
        <f aca="false">IF(Q31="Cursada aprobada",IF(AND(OR(L31="",COUNTIF($F$2:$F$51,L31)=0,COUNTIFS($F$2:$F$51,L31,$Q$2:$Q$51,"Aprobada")&gt;0),OR(M31="",COUNTIF($F$2:$F$51,M31)=0,COUNTIFS($F$2:$F$51,M31,$Q$2:$Q$51,"Aprobada")&gt;0),OR(N31="",COUNTIF($F$2:$F$51,N31)=0,COUNTIFS($F$2:$F$51,N31,$Q$2:$Q$51,"Aprobada")&gt;0),OR(O31="",COUNTIF($F$2:$F$51,O31)=0,COUNTIFS($F$2:$F$51,O31,$Q$2:$Q$51,"Aprobada")&gt;0),OR(P31="",COUNTIF($F$2:$F$51,P31)=0,COUNTIFS($F$2:$F$51,P31,$Q$2:$Q$51,"Aprobada")&gt;0)),"Sí","No"),"")</f>
        <v/>
      </c>
      <c r="U31" s="9" t="str">
        <f aca="false">IF(Q31="Aprobada",TRIM(IF(NOT(OR(L31="",COUNTIF($F$2:$F$51,L31)=0,COUNTIFS($F$2:$F$51,L31,$Q$2:$Q$51,"Aprobada")&gt;0)),L31&amp;" ","")&amp;IF(NOT(OR(M31="",COUNTIF($F$2:$F$51,M31)=0,COUNTIFS($F$2:$F$51,M31,$Q$2:$Q$51,"Aprobada")&gt;0)),M31&amp;" ","")&amp;IF(NOT(OR(N31="",COUNTIF($F$2:$F$51,N31)=0,COUNTIFS($F$2:$F$51,N31,$Q$2:$Q$51,"Aprobada")&gt;0)),N31&amp;" ","")&amp;IF(NOT(OR(O31="",COUNTIF($F$2:$F$51,O31)=0,COUNTIFS($F$2:$F$51,O31,$Q$2:$Q$51,"Aprobada")&gt;0)),O31&amp;" ","")&amp;IF(NOT(OR(P31="",COUNTIF($F$2:$F$51,P31)=0,COUNTIFS($F$2:$F$51,P31,$Q$2:$Q$51,"Aprobada")&gt;0)),P31&amp;" ","")),IF(Q31="Cursada aprobada",TRIM(IF(NOT(OR(L31="",COUNTIF($F$2:$F$51,L31)=0,COUNTIFS($F$2:$F$51,L31,$Q$2:$Q$51,"Aprobada")&gt;0,AND(Resumen!$B$15="La cursada aprobada",COUNTIFS($F$2:$F$51,L31,$Q$2:$Q$51,"Cursada aprobada")&gt;0))),L31&amp;" ","")&amp;IF(NOT(OR(M31="",COUNTIF($F$2:$F$51,M31)=0,COUNTIFS($F$2:$F$51,M31,$Q$2:$Q$51,"Aprobada")&gt;0,AND(Resumen!$B$15="La cursada aprobada",COUNTIFS($F$2:$F$51,M31,$Q$2:$Q$51,"Cursada aprobada")&gt;0))),M31&amp;" ","")&amp;IF(NOT(OR(N31="",COUNTIF($F$2:$F$51,N31)=0,COUNTIFS($F$2:$F$51,N31,$Q$2:$Q$51,"Aprobada")&gt;0,AND(Resumen!$B$15="La cursada aprobada",COUNTIFS($F$2:$F$51,N31,$Q$2:$Q$51,"Cursada aprobada")&gt;0))),N31&amp;" ","")&amp;IF(NOT(OR(O31="",COUNTIF($F$2:$F$51,O31)=0,COUNTIFS($F$2:$F$51,O31,$Q$2:$Q$51,"Aprobada")&gt;0,AND(Resumen!$B$15="La cursada aprobada",COUNTIFS($F$2:$F$51,O31,$Q$2:$Q$51,"Cursada aprobada")&gt;0))),O31&amp;" ","")&amp;IF(NOT(OR(P31="",COUNTIF($F$2:$F$51,P31)=0,COUNTIFS($F$2:$F$51,P31,$Q$2:$Q$51,"Aprobada")&gt;0,AND(Resumen!$B$15="La cursada aprobada",COUNTIFS($F$2:$F$51,P31,$Q$2:$Q$51,"Cursada aprobada")&gt;0))),P31&amp;" ","")),""))</f>
        <v/>
      </c>
    </row>
    <row r="32" customFormat="false" ht="15" hidden="false" customHeight="false" outlineLevel="0" collapsed="false">
      <c r="A32" s="8" t="s">
        <v>214</v>
      </c>
      <c r="B32" s="8" t="s">
        <v>215</v>
      </c>
      <c r="C32" s="9" t="s">
        <v>216</v>
      </c>
      <c r="D32" s="9" t="n">
        <v>1</v>
      </c>
      <c r="E32" s="9" t="s">
        <v>217</v>
      </c>
      <c r="F32" s="9" t="n">
        <v>1015</v>
      </c>
      <c r="G32" s="8" t="s">
        <v>222</v>
      </c>
      <c r="H32" s="9"/>
      <c r="I32" s="9" t="n">
        <v>6</v>
      </c>
      <c r="J32" s="9"/>
      <c r="K32" s="9" t="n">
        <v>96</v>
      </c>
      <c r="L32" s="9" t="n">
        <v>218</v>
      </c>
      <c r="M32" s="9" t="n">
        <v>419</v>
      </c>
      <c r="N32" s="9"/>
      <c r="O32" s="9"/>
      <c r="P32" s="9"/>
      <c r="Q32" s="10" t="s">
        <v>62</v>
      </c>
      <c r="R32" s="9" t="str">
        <f aca="false">IF(Q32="Aprobada","Ya aprobada",IF(Q32="Cursada aprobada","Ya cursada",IF(AND(OR(L32="",COUNTIF($F$2:$F$51,L32)=0,COUNTIFS($F$2:$F$51,L32,$Q$2:$Q$51,"Aprobada")&gt;0,AND(Resumen!$B$15="La cursada aprobada",COUNTIFS($F$2:$F$51,L32,$Q$2:$Q$51,"Cursada aprobada")&gt;0)),OR(M32="",COUNTIF($F$2:$F$51,M32)=0,COUNTIFS($F$2:$F$51,M32,$Q$2:$Q$51,"Aprobada")&gt;0,AND(Resumen!$B$15="La cursada aprobada",COUNTIFS($F$2:$F$51,M32,$Q$2:$Q$51,"Cursada aprobada")&gt;0)),OR(N32="",COUNTIF($F$2:$F$51,N32)=0,COUNTIFS($F$2:$F$51,N32,$Q$2:$Q$51,"Aprobada")&gt;0,AND(Resumen!$B$15="La cursada aprobada",COUNTIFS($F$2:$F$51,N32,$Q$2:$Q$51,"Cursada aprobada")&gt;0)),OR(O32="",COUNTIF($F$2:$F$51,O32)=0,COUNTIFS($F$2:$F$51,O32,$Q$2:$Q$51,"Aprobada")&gt;0,AND(Resumen!$B$15="La cursada aprobada",COUNTIFS($F$2:$F$51,O32,$Q$2:$Q$51,"Cursada aprobada")&gt;0)),OR(P32="",COUNTIF($F$2:$F$51,P32)=0,COUNTIFS($F$2:$F$51,P32,$Q$2:$Q$51,"Aprobada")&gt;0,AND(Resumen!$B$15="La cursada aprobada",COUNTIFS($F$2:$F$51,P32,$Q$2:$Q$51,"Cursada aprobada")&gt;0))),"Sí","No")))</f>
        <v>No</v>
      </c>
      <c r="S32" s="8" t="str">
        <f aca="false">TRIM(IF(NOT(OR(L32="",COUNTIF($F$2:$F$51,L32)=0,COUNTIFS($F$2:$F$51,L32,$Q$2:$Q$51,"Aprobada")&gt;0,AND(Resumen!$B$15="La cursada aprobada",COUNTIFS($F$2:$F$51,L32,$Q$2:$Q$51,"Cursada aprobada")&gt;0))),L32&amp;" ","")&amp;IF(NOT(OR(M32="",COUNTIF($F$2:$F$51,M32)=0,COUNTIFS($F$2:$F$51,M32,$Q$2:$Q$51,"Aprobada")&gt;0,AND(Resumen!$B$15="La cursada aprobada",COUNTIFS($F$2:$F$51,M32,$Q$2:$Q$51,"Cursada aprobada")&gt;0))),M32&amp;" ","")&amp;IF(NOT(OR(N32="",COUNTIF($F$2:$F$51,N32)=0,COUNTIFS($F$2:$F$51,N32,$Q$2:$Q$51,"Aprobada")&gt;0,AND(Resumen!$B$15="La cursada aprobada",COUNTIFS($F$2:$F$51,N32,$Q$2:$Q$51,"Cursada aprobada")&gt;0))),N32&amp;" ","")&amp;IF(NOT(OR(O32="",COUNTIF($F$2:$F$51,O32)=0,COUNTIFS($F$2:$F$51,O32,$Q$2:$Q$51,"Aprobada")&gt;0,AND(Resumen!$B$15="La cursada aprobada",COUNTIFS($F$2:$F$51,O32,$Q$2:$Q$51,"Cursada aprobada")&gt;0))),O32&amp;" ","")&amp;IF(NOT(OR(P32="",COUNTIF($F$2:$F$51,P32)=0,COUNTIFS($F$2:$F$51,P32,$Q$2:$Q$51,"Aprobada")&gt;0,AND(Resumen!$B$15="La cursada aprobada",COUNTIFS($F$2:$F$51,P32,$Q$2:$Q$51,"Cursada aprobada")&gt;0))),P32&amp;" ",""))</f>
        <v>218 419</v>
      </c>
      <c r="T32" s="9" t="str">
        <f aca="false">IF(Q32="Cursada aprobada",IF(AND(OR(L32="",COUNTIF($F$2:$F$51,L32)=0,COUNTIFS($F$2:$F$51,L32,$Q$2:$Q$51,"Aprobada")&gt;0),OR(M32="",COUNTIF($F$2:$F$51,M32)=0,COUNTIFS($F$2:$F$51,M32,$Q$2:$Q$51,"Aprobada")&gt;0),OR(N32="",COUNTIF($F$2:$F$51,N32)=0,COUNTIFS($F$2:$F$51,N32,$Q$2:$Q$51,"Aprobada")&gt;0),OR(O32="",COUNTIF($F$2:$F$51,O32)=0,COUNTIFS($F$2:$F$51,O32,$Q$2:$Q$51,"Aprobada")&gt;0),OR(P32="",COUNTIF($F$2:$F$51,P32)=0,COUNTIFS($F$2:$F$51,P32,$Q$2:$Q$51,"Aprobada")&gt;0)),"Sí","No"),"")</f>
        <v/>
      </c>
      <c r="U32" s="9" t="str">
        <f aca="false">IF(Q32="Aprobada",TRIM(IF(NOT(OR(L32="",COUNTIF($F$2:$F$51,L32)=0,COUNTIFS($F$2:$F$51,L32,$Q$2:$Q$51,"Aprobada")&gt;0)),L32&amp;" ","")&amp;IF(NOT(OR(M32="",COUNTIF($F$2:$F$51,M32)=0,COUNTIFS($F$2:$F$51,M32,$Q$2:$Q$51,"Aprobada")&gt;0)),M32&amp;" ","")&amp;IF(NOT(OR(N32="",COUNTIF($F$2:$F$51,N32)=0,COUNTIFS($F$2:$F$51,N32,$Q$2:$Q$51,"Aprobada")&gt;0)),N32&amp;" ","")&amp;IF(NOT(OR(O32="",COUNTIF($F$2:$F$51,O32)=0,COUNTIFS($F$2:$F$51,O32,$Q$2:$Q$51,"Aprobada")&gt;0)),O32&amp;" ","")&amp;IF(NOT(OR(P32="",COUNTIF($F$2:$F$51,P32)=0,COUNTIFS($F$2:$F$51,P32,$Q$2:$Q$51,"Aprobada")&gt;0)),P32&amp;" ","")),IF(Q32="Cursada aprobada",TRIM(IF(NOT(OR(L32="",COUNTIF($F$2:$F$51,L32)=0,COUNTIFS($F$2:$F$51,L32,$Q$2:$Q$51,"Aprobada")&gt;0,AND(Resumen!$B$15="La cursada aprobada",COUNTIFS($F$2:$F$51,L32,$Q$2:$Q$51,"Cursada aprobada")&gt;0))),L32&amp;" ","")&amp;IF(NOT(OR(M32="",COUNTIF($F$2:$F$51,M32)=0,COUNTIFS($F$2:$F$51,M32,$Q$2:$Q$51,"Aprobada")&gt;0,AND(Resumen!$B$15="La cursada aprobada",COUNTIFS($F$2:$F$51,M32,$Q$2:$Q$51,"Cursada aprobada")&gt;0))),M32&amp;" ","")&amp;IF(NOT(OR(N32="",COUNTIF($F$2:$F$51,N32)=0,COUNTIFS($F$2:$F$51,N32,$Q$2:$Q$51,"Aprobada")&gt;0,AND(Resumen!$B$15="La cursada aprobada",COUNTIFS($F$2:$F$51,N32,$Q$2:$Q$51,"Cursada aprobada")&gt;0))),N32&amp;" ","")&amp;IF(NOT(OR(O32="",COUNTIF($F$2:$F$51,O32)=0,COUNTIFS($F$2:$F$51,O32,$Q$2:$Q$51,"Aprobada")&gt;0,AND(Resumen!$B$15="La cursada aprobada",COUNTIFS($F$2:$F$51,O32,$Q$2:$Q$51,"Cursada aprobada")&gt;0))),O32&amp;" ","")&amp;IF(NOT(OR(P32="",COUNTIF($F$2:$F$51,P32)=0,COUNTIFS($F$2:$F$51,P32,$Q$2:$Q$51,"Aprobada")&gt;0,AND(Resumen!$B$15="La cursada aprobada",COUNTIFS($F$2:$F$51,P32,$Q$2:$Q$51,"Cursada aprobada")&gt;0))),P32&amp;" ","")),""))</f>
        <v/>
      </c>
    </row>
    <row r="33" customFormat="false" ht="15" hidden="false" customHeight="false" outlineLevel="0" collapsed="false">
      <c r="A33" s="8" t="s">
        <v>214</v>
      </c>
      <c r="B33" s="8" t="s">
        <v>215</v>
      </c>
      <c r="C33" s="9" t="s">
        <v>216</v>
      </c>
      <c r="D33" s="9" t="n">
        <v>1</v>
      </c>
      <c r="E33" s="9" t="s">
        <v>217</v>
      </c>
      <c r="F33" s="9" t="n">
        <v>1016</v>
      </c>
      <c r="G33" s="8" t="s">
        <v>223</v>
      </c>
      <c r="H33" s="9"/>
      <c r="I33" s="9" t="n">
        <v>6</v>
      </c>
      <c r="J33" s="9"/>
      <c r="K33" s="9" t="n">
        <v>96</v>
      </c>
      <c r="L33" s="9" t="n">
        <v>218</v>
      </c>
      <c r="M33" s="9" t="n">
        <v>419</v>
      </c>
      <c r="N33" s="9"/>
      <c r="O33" s="9"/>
      <c r="P33" s="9"/>
      <c r="Q33" s="10" t="s">
        <v>62</v>
      </c>
      <c r="R33" s="9" t="str">
        <f aca="false">IF(Q33="Aprobada","Ya aprobada",IF(Q33="Cursada aprobada","Ya cursada",IF(AND(OR(L33="",COUNTIF($F$2:$F$51,L33)=0,COUNTIFS($F$2:$F$51,L33,$Q$2:$Q$51,"Aprobada")&gt;0,AND(Resumen!$B$15="La cursada aprobada",COUNTIFS($F$2:$F$51,L33,$Q$2:$Q$51,"Cursada aprobada")&gt;0)),OR(M33="",COUNTIF($F$2:$F$51,M33)=0,COUNTIFS($F$2:$F$51,M33,$Q$2:$Q$51,"Aprobada")&gt;0,AND(Resumen!$B$15="La cursada aprobada",COUNTIFS($F$2:$F$51,M33,$Q$2:$Q$51,"Cursada aprobada")&gt;0)),OR(N33="",COUNTIF($F$2:$F$51,N33)=0,COUNTIFS($F$2:$F$51,N33,$Q$2:$Q$51,"Aprobada")&gt;0,AND(Resumen!$B$15="La cursada aprobada",COUNTIFS($F$2:$F$51,N33,$Q$2:$Q$51,"Cursada aprobada")&gt;0)),OR(O33="",COUNTIF($F$2:$F$51,O33)=0,COUNTIFS($F$2:$F$51,O33,$Q$2:$Q$51,"Aprobada")&gt;0,AND(Resumen!$B$15="La cursada aprobada",COUNTIFS($F$2:$F$51,O33,$Q$2:$Q$51,"Cursada aprobada")&gt;0)),OR(P33="",COUNTIF($F$2:$F$51,P33)=0,COUNTIFS($F$2:$F$51,P33,$Q$2:$Q$51,"Aprobada")&gt;0,AND(Resumen!$B$15="La cursada aprobada",COUNTIFS($F$2:$F$51,P33,$Q$2:$Q$51,"Cursada aprobada")&gt;0))),"Sí","No")))</f>
        <v>No</v>
      </c>
      <c r="S33" s="8" t="str">
        <f aca="false">TRIM(IF(NOT(OR(L33="",COUNTIF($F$2:$F$51,L33)=0,COUNTIFS($F$2:$F$51,L33,$Q$2:$Q$51,"Aprobada")&gt;0,AND(Resumen!$B$15="La cursada aprobada",COUNTIFS($F$2:$F$51,L33,$Q$2:$Q$51,"Cursada aprobada")&gt;0))),L33&amp;" ","")&amp;IF(NOT(OR(M33="",COUNTIF($F$2:$F$51,M33)=0,COUNTIFS($F$2:$F$51,M33,$Q$2:$Q$51,"Aprobada")&gt;0,AND(Resumen!$B$15="La cursada aprobada",COUNTIFS($F$2:$F$51,M33,$Q$2:$Q$51,"Cursada aprobada")&gt;0))),M33&amp;" ","")&amp;IF(NOT(OR(N33="",COUNTIF($F$2:$F$51,N33)=0,COUNTIFS($F$2:$F$51,N33,$Q$2:$Q$51,"Aprobada")&gt;0,AND(Resumen!$B$15="La cursada aprobada",COUNTIFS($F$2:$F$51,N33,$Q$2:$Q$51,"Cursada aprobada")&gt;0))),N33&amp;" ","")&amp;IF(NOT(OR(O33="",COUNTIF($F$2:$F$51,O33)=0,COUNTIFS($F$2:$F$51,O33,$Q$2:$Q$51,"Aprobada")&gt;0,AND(Resumen!$B$15="La cursada aprobada",COUNTIFS($F$2:$F$51,O33,$Q$2:$Q$51,"Cursada aprobada")&gt;0))),O33&amp;" ","")&amp;IF(NOT(OR(P33="",COUNTIF($F$2:$F$51,P33)=0,COUNTIFS($F$2:$F$51,P33,$Q$2:$Q$51,"Aprobada")&gt;0,AND(Resumen!$B$15="La cursada aprobada",COUNTIFS($F$2:$F$51,P33,$Q$2:$Q$51,"Cursada aprobada")&gt;0))),P33&amp;" ",""))</f>
        <v>218 419</v>
      </c>
      <c r="T33" s="9" t="str">
        <f aca="false">IF(Q33="Cursada aprobada",IF(AND(OR(L33="",COUNTIF($F$2:$F$51,L33)=0,COUNTIFS($F$2:$F$51,L33,$Q$2:$Q$51,"Aprobada")&gt;0),OR(M33="",COUNTIF($F$2:$F$51,M33)=0,COUNTIFS($F$2:$F$51,M33,$Q$2:$Q$51,"Aprobada")&gt;0),OR(N33="",COUNTIF($F$2:$F$51,N33)=0,COUNTIFS($F$2:$F$51,N33,$Q$2:$Q$51,"Aprobada")&gt;0),OR(O33="",COUNTIF($F$2:$F$51,O33)=0,COUNTIFS($F$2:$F$51,O33,$Q$2:$Q$51,"Aprobada")&gt;0),OR(P33="",COUNTIF($F$2:$F$51,P33)=0,COUNTIFS($F$2:$F$51,P33,$Q$2:$Q$51,"Aprobada")&gt;0)),"Sí","No"),"")</f>
        <v/>
      </c>
      <c r="U33" s="9" t="str">
        <f aca="false">IF(Q33="Aprobada",TRIM(IF(NOT(OR(L33="",COUNTIF($F$2:$F$51,L33)=0,COUNTIFS($F$2:$F$51,L33,$Q$2:$Q$51,"Aprobada")&gt;0)),L33&amp;" ","")&amp;IF(NOT(OR(M33="",COUNTIF($F$2:$F$51,M33)=0,COUNTIFS($F$2:$F$51,M33,$Q$2:$Q$51,"Aprobada")&gt;0)),M33&amp;" ","")&amp;IF(NOT(OR(N33="",COUNTIF($F$2:$F$51,N33)=0,COUNTIFS($F$2:$F$51,N33,$Q$2:$Q$51,"Aprobada")&gt;0)),N33&amp;" ","")&amp;IF(NOT(OR(O33="",COUNTIF($F$2:$F$51,O33)=0,COUNTIFS($F$2:$F$51,O33,$Q$2:$Q$51,"Aprobada")&gt;0)),O33&amp;" ","")&amp;IF(NOT(OR(P33="",COUNTIF($F$2:$F$51,P33)=0,COUNTIFS($F$2:$F$51,P33,$Q$2:$Q$51,"Aprobada")&gt;0)),P33&amp;" ","")),IF(Q33="Cursada aprobada",TRIM(IF(NOT(OR(L33="",COUNTIF($F$2:$F$51,L33)=0,COUNTIFS($F$2:$F$51,L33,$Q$2:$Q$51,"Aprobada")&gt;0,AND(Resumen!$B$15="La cursada aprobada",COUNTIFS($F$2:$F$51,L33,$Q$2:$Q$51,"Cursada aprobada")&gt;0))),L33&amp;" ","")&amp;IF(NOT(OR(M33="",COUNTIF($F$2:$F$51,M33)=0,COUNTIFS($F$2:$F$51,M33,$Q$2:$Q$51,"Aprobada")&gt;0,AND(Resumen!$B$15="La cursada aprobada",COUNTIFS($F$2:$F$51,M33,$Q$2:$Q$51,"Cursada aprobada")&gt;0))),M33&amp;" ","")&amp;IF(NOT(OR(N33="",COUNTIF($F$2:$F$51,N33)=0,COUNTIFS($F$2:$F$51,N33,$Q$2:$Q$51,"Aprobada")&gt;0,AND(Resumen!$B$15="La cursada aprobada",COUNTIFS($F$2:$F$51,N33,$Q$2:$Q$51,"Cursada aprobada")&gt;0))),N33&amp;" ","")&amp;IF(NOT(OR(O33="",COUNTIF($F$2:$F$51,O33)=0,COUNTIFS($F$2:$F$51,O33,$Q$2:$Q$51,"Aprobada")&gt;0,AND(Resumen!$B$15="La cursada aprobada",COUNTIFS($F$2:$F$51,O33,$Q$2:$Q$51,"Cursada aprobada")&gt;0))),O33&amp;" ","")&amp;IF(NOT(OR(P33="",COUNTIF($F$2:$F$51,P33)=0,COUNTIFS($F$2:$F$51,P33,$Q$2:$Q$51,"Aprobada")&gt;0,AND(Resumen!$B$15="La cursada aprobada",COUNTIFS($F$2:$F$51,P33,$Q$2:$Q$51,"Cursada aprobada")&gt;0))),P33&amp;" ","")),""))</f>
        <v/>
      </c>
    </row>
    <row r="34" customFormat="false" ht="15" hidden="false" customHeight="false" outlineLevel="0" collapsed="false">
      <c r="A34" s="8" t="s">
        <v>214</v>
      </c>
      <c r="B34" s="8" t="s">
        <v>224</v>
      </c>
      <c r="C34" s="9" t="s">
        <v>216</v>
      </c>
      <c r="D34" s="9" t="n">
        <v>2</v>
      </c>
      <c r="E34" s="9" t="s">
        <v>59</v>
      </c>
      <c r="F34" s="9" t="n">
        <v>1030</v>
      </c>
      <c r="G34" s="8" t="s">
        <v>225</v>
      </c>
      <c r="H34" s="9" t="s">
        <v>61</v>
      </c>
      <c r="I34" s="9" t="n">
        <v>4</v>
      </c>
      <c r="J34" s="9"/>
      <c r="K34" s="9" t="n">
        <v>64</v>
      </c>
      <c r="L34" s="9" t="n">
        <v>349</v>
      </c>
      <c r="M34" s="9"/>
      <c r="N34" s="9"/>
      <c r="O34" s="9"/>
      <c r="P34" s="9"/>
      <c r="Q34" s="10" t="s">
        <v>62</v>
      </c>
      <c r="R34" s="9" t="str">
        <f aca="false">IF(Q34="Aprobada","Ya aprobada",IF(Q34="Cursada aprobada","Ya cursada",IF(AND(OR(L34="",COUNTIF($F$2:$F$51,L34)=0,COUNTIFS($F$2:$F$51,L34,$Q$2:$Q$51,"Aprobada")&gt;0,AND(Resumen!$B$15="La cursada aprobada",COUNTIFS($F$2:$F$51,L34,$Q$2:$Q$51,"Cursada aprobada")&gt;0)),OR(M34="",COUNTIF($F$2:$F$51,M34)=0,COUNTIFS($F$2:$F$51,M34,$Q$2:$Q$51,"Aprobada")&gt;0,AND(Resumen!$B$15="La cursada aprobada",COUNTIFS($F$2:$F$51,M34,$Q$2:$Q$51,"Cursada aprobada")&gt;0)),OR(N34="",COUNTIF($F$2:$F$51,N34)=0,COUNTIFS($F$2:$F$51,N34,$Q$2:$Q$51,"Aprobada")&gt;0,AND(Resumen!$B$15="La cursada aprobada",COUNTIFS($F$2:$F$51,N34,$Q$2:$Q$51,"Cursada aprobada")&gt;0)),OR(O34="",COUNTIF($F$2:$F$51,O34)=0,COUNTIFS($F$2:$F$51,O34,$Q$2:$Q$51,"Aprobada")&gt;0,AND(Resumen!$B$15="La cursada aprobada",COUNTIFS($F$2:$F$51,O34,$Q$2:$Q$51,"Cursada aprobada")&gt;0)),OR(P34="",COUNTIF($F$2:$F$51,P34)=0,COUNTIFS($F$2:$F$51,P34,$Q$2:$Q$51,"Aprobada")&gt;0,AND(Resumen!$B$15="La cursada aprobada",COUNTIFS($F$2:$F$51,P34,$Q$2:$Q$51,"Cursada aprobada")&gt;0))),"Sí","No")))</f>
        <v>No</v>
      </c>
      <c r="S34" s="8" t="str">
        <f aca="false">TRIM(IF(NOT(OR(L34="",COUNTIF($F$2:$F$51,L34)=0,COUNTIFS($F$2:$F$51,L34,$Q$2:$Q$51,"Aprobada")&gt;0,AND(Resumen!$B$15="La cursada aprobada",COUNTIFS($F$2:$F$51,L34,$Q$2:$Q$51,"Cursada aprobada")&gt;0))),L34&amp;" ","")&amp;IF(NOT(OR(M34="",COUNTIF($F$2:$F$51,M34)=0,COUNTIFS($F$2:$F$51,M34,$Q$2:$Q$51,"Aprobada")&gt;0,AND(Resumen!$B$15="La cursada aprobada",COUNTIFS($F$2:$F$51,M34,$Q$2:$Q$51,"Cursada aprobada")&gt;0))),M34&amp;" ","")&amp;IF(NOT(OR(N34="",COUNTIF($F$2:$F$51,N34)=0,COUNTIFS($F$2:$F$51,N34,$Q$2:$Q$51,"Aprobada")&gt;0,AND(Resumen!$B$15="La cursada aprobada",COUNTIFS($F$2:$F$51,N34,$Q$2:$Q$51,"Cursada aprobada")&gt;0))),N34&amp;" ","")&amp;IF(NOT(OR(O34="",COUNTIF($F$2:$F$51,O34)=0,COUNTIFS($F$2:$F$51,O34,$Q$2:$Q$51,"Aprobada")&gt;0,AND(Resumen!$B$15="La cursada aprobada",COUNTIFS($F$2:$F$51,O34,$Q$2:$Q$51,"Cursada aprobada")&gt;0))),O34&amp;" ","")&amp;IF(NOT(OR(P34="",COUNTIF($F$2:$F$51,P34)=0,COUNTIFS($F$2:$F$51,P34,$Q$2:$Q$51,"Aprobada")&gt;0,AND(Resumen!$B$15="La cursada aprobada",COUNTIFS($F$2:$F$51,P34,$Q$2:$Q$51,"Cursada aprobada")&gt;0))),P34&amp;" ",""))</f>
        <v>349</v>
      </c>
      <c r="T34" s="9" t="str">
        <f aca="false">IF(Q34="Cursada aprobada",IF(AND(OR(L34="",COUNTIF($F$2:$F$51,L34)=0,COUNTIFS($F$2:$F$51,L34,$Q$2:$Q$51,"Aprobada")&gt;0),OR(M34="",COUNTIF($F$2:$F$51,M34)=0,COUNTIFS($F$2:$F$51,M34,$Q$2:$Q$51,"Aprobada")&gt;0),OR(N34="",COUNTIF($F$2:$F$51,N34)=0,COUNTIFS($F$2:$F$51,N34,$Q$2:$Q$51,"Aprobada")&gt;0),OR(O34="",COUNTIF($F$2:$F$51,O34)=0,COUNTIFS($F$2:$F$51,O34,$Q$2:$Q$51,"Aprobada")&gt;0),OR(P34="",COUNTIF($F$2:$F$51,P34)=0,COUNTIFS($F$2:$F$51,P34,$Q$2:$Q$51,"Aprobada")&gt;0)),"Sí","No"),"")</f>
        <v/>
      </c>
      <c r="U34" s="9" t="str">
        <f aca="false">IF(Q34="Aprobada",TRIM(IF(NOT(OR(L34="",COUNTIF($F$2:$F$51,L34)=0,COUNTIFS($F$2:$F$51,L34,$Q$2:$Q$51,"Aprobada")&gt;0)),L34&amp;" ","")&amp;IF(NOT(OR(M34="",COUNTIF($F$2:$F$51,M34)=0,COUNTIFS($F$2:$F$51,M34,$Q$2:$Q$51,"Aprobada")&gt;0)),M34&amp;" ","")&amp;IF(NOT(OR(N34="",COUNTIF($F$2:$F$51,N34)=0,COUNTIFS($F$2:$F$51,N34,$Q$2:$Q$51,"Aprobada")&gt;0)),N34&amp;" ","")&amp;IF(NOT(OR(O34="",COUNTIF($F$2:$F$51,O34)=0,COUNTIFS($F$2:$F$51,O34,$Q$2:$Q$51,"Aprobada")&gt;0)),O34&amp;" ","")&amp;IF(NOT(OR(P34="",COUNTIF($F$2:$F$51,P34)=0,COUNTIFS($F$2:$F$51,P34,$Q$2:$Q$51,"Aprobada")&gt;0)),P34&amp;" ","")),IF(Q34="Cursada aprobada",TRIM(IF(NOT(OR(L34="",COUNTIF($F$2:$F$51,L34)=0,COUNTIFS($F$2:$F$51,L34,$Q$2:$Q$51,"Aprobada")&gt;0,AND(Resumen!$B$15="La cursada aprobada",COUNTIFS($F$2:$F$51,L34,$Q$2:$Q$51,"Cursada aprobada")&gt;0))),L34&amp;" ","")&amp;IF(NOT(OR(M34="",COUNTIF($F$2:$F$51,M34)=0,COUNTIFS($F$2:$F$51,M34,$Q$2:$Q$51,"Aprobada")&gt;0,AND(Resumen!$B$15="La cursada aprobada",COUNTIFS($F$2:$F$51,M34,$Q$2:$Q$51,"Cursada aprobada")&gt;0))),M34&amp;" ","")&amp;IF(NOT(OR(N34="",COUNTIF($F$2:$F$51,N34)=0,COUNTIFS($F$2:$F$51,N34,$Q$2:$Q$51,"Aprobada")&gt;0,AND(Resumen!$B$15="La cursada aprobada",COUNTIFS($F$2:$F$51,N34,$Q$2:$Q$51,"Cursada aprobada")&gt;0))),N34&amp;" ","")&amp;IF(NOT(OR(O34="",COUNTIF($F$2:$F$51,O34)=0,COUNTIFS($F$2:$F$51,O34,$Q$2:$Q$51,"Aprobada")&gt;0,AND(Resumen!$B$15="La cursada aprobada",COUNTIFS($F$2:$F$51,O34,$Q$2:$Q$51,"Cursada aprobada")&gt;0))),O34&amp;" ","")&amp;IF(NOT(OR(P34="",COUNTIF($F$2:$F$51,P34)=0,COUNTIFS($F$2:$F$51,P34,$Q$2:$Q$51,"Aprobada")&gt;0,AND(Resumen!$B$15="La cursada aprobada",COUNTIFS($F$2:$F$51,P34,$Q$2:$Q$51,"Cursada aprobada")&gt;0))),P34&amp;" ","")),""))</f>
        <v/>
      </c>
    </row>
    <row r="35" customFormat="false" ht="15" hidden="false" customHeight="false" outlineLevel="0" collapsed="false">
      <c r="A35" s="8" t="s">
        <v>214</v>
      </c>
      <c r="B35" s="8" t="s">
        <v>224</v>
      </c>
      <c r="C35" s="9" t="s">
        <v>216</v>
      </c>
      <c r="D35" s="9" t="n">
        <v>2</v>
      </c>
      <c r="E35" s="9" t="s">
        <v>59</v>
      </c>
      <c r="F35" s="9" t="n">
        <v>1031</v>
      </c>
      <c r="G35" s="8" t="s">
        <v>226</v>
      </c>
      <c r="H35" s="9" t="s">
        <v>61</v>
      </c>
      <c r="I35" s="9" t="n">
        <v>4</v>
      </c>
      <c r="J35" s="9"/>
      <c r="K35" s="9" t="n">
        <v>64</v>
      </c>
      <c r="L35" s="9" t="n">
        <v>208</v>
      </c>
      <c r="M35" s="9" t="n">
        <v>314</v>
      </c>
      <c r="N35" s="9"/>
      <c r="O35" s="9"/>
      <c r="P35" s="9"/>
      <c r="Q35" s="10" t="s">
        <v>62</v>
      </c>
      <c r="R35" s="9" t="str">
        <f aca="false">IF(Q35="Aprobada","Ya aprobada",IF(Q35="Cursada aprobada","Ya cursada",IF(AND(OR(L35="",COUNTIF($F$2:$F$51,L35)=0,COUNTIFS($F$2:$F$51,L35,$Q$2:$Q$51,"Aprobada")&gt;0,AND(Resumen!$B$15="La cursada aprobada",COUNTIFS($F$2:$F$51,L35,$Q$2:$Q$51,"Cursada aprobada")&gt;0)),OR(M35="",COUNTIF($F$2:$F$51,M35)=0,COUNTIFS($F$2:$F$51,M35,$Q$2:$Q$51,"Aprobada")&gt;0,AND(Resumen!$B$15="La cursada aprobada",COUNTIFS($F$2:$F$51,M35,$Q$2:$Q$51,"Cursada aprobada")&gt;0)),OR(N35="",COUNTIF($F$2:$F$51,N35)=0,COUNTIFS($F$2:$F$51,N35,$Q$2:$Q$51,"Aprobada")&gt;0,AND(Resumen!$B$15="La cursada aprobada",COUNTIFS($F$2:$F$51,N35,$Q$2:$Q$51,"Cursada aprobada")&gt;0)),OR(O35="",COUNTIF($F$2:$F$51,O35)=0,COUNTIFS($F$2:$F$51,O35,$Q$2:$Q$51,"Aprobada")&gt;0,AND(Resumen!$B$15="La cursada aprobada",COUNTIFS($F$2:$F$51,O35,$Q$2:$Q$51,"Cursada aprobada")&gt;0)),OR(P35="",COUNTIF($F$2:$F$51,P35)=0,COUNTIFS($F$2:$F$51,P35,$Q$2:$Q$51,"Aprobada")&gt;0,AND(Resumen!$B$15="La cursada aprobada",COUNTIFS($F$2:$F$51,P35,$Q$2:$Q$51,"Cursada aprobada")&gt;0))),"Sí","No")))</f>
        <v>No</v>
      </c>
      <c r="S35" s="8" t="str">
        <f aca="false">TRIM(IF(NOT(OR(L35="",COUNTIF($F$2:$F$51,L35)=0,COUNTIFS($F$2:$F$51,L35,$Q$2:$Q$51,"Aprobada")&gt;0,AND(Resumen!$B$15="La cursada aprobada",COUNTIFS($F$2:$F$51,L35,$Q$2:$Q$51,"Cursada aprobada")&gt;0))),L35&amp;" ","")&amp;IF(NOT(OR(M35="",COUNTIF($F$2:$F$51,M35)=0,COUNTIFS($F$2:$F$51,M35,$Q$2:$Q$51,"Aprobada")&gt;0,AND(Resumen!$B$15="La cursada aprobada",COUNTIFS($F$2:$F$51,M35,$Q$2:$Q$51,"Cursada aprobada")&gt;0))),M35&amp;" ","")&amp;IF(NOT(OR(N35="",COUNTIF($F$2:$F$51,N35)=0,COUNTIFS($F$2:$F$51,N35,$Q$2:$Q$51,"Aprobada")&gt;0,AND(Resumen!$B$15="La cursada aprobada",COUNTIFS($F$2:$F$51,N35,$Q$2:$Q$51,"Cursada aprobada")&gt;0))),N35&amp;" ","")&amp;IF(NOT(OR(O35="",COUNTIF($F$2:$F$51,O35)=0,COUNTIFS($F$2:$F$51,O35,$Q$2:$Q$51,"Aprobada")&gt;0,AND(Resumen!$B$15="La cursada aprobada",COUNTIFS($F$2:$F$51,O35,$Q$2:$Q$51,"Cursada aprobada")&gt;0))),O35&amp;" ","")&amp;IF(NOT(OR(P35="",COUNTIF($F$2:$F$51,P35)=0,COUNTIFS($F$2:$F$51,P35,$Q$2:$Q$51,"Aprobada")&gt;0,AND(Resumen!$B$15="La cursada aprobada",COUNTIFS($F$2:$F$51,P35,$Q$2:$Q$51,"Cursada aprobada")&gt;0))),P35&amp;" ",""))</f>
        <v>208 314</v>
      </c>
      <c r="T35" s="9" t="str">
        <f aca="false">IF(Q35="Cursada aprobada",IF(AND(OR(L35="",COUNTIF($F$2:$F$51,L35)=0,COUNTIFS($F$2:$F$51,L35,$Q$2:$Q$51,"Aprobada")&gt;0),OR(M35="",COUNTIF($F$2:$F$51,M35)=0,COUNTIFS($F$2:$F$51,M35,$Q$2:$Q$51,"Aprobada")&gt;0),OR(N35="",COUNTIF($F$2:$F$51,N35)=0,COUNTIFS($F$2:$F$51,N35,$Q$2:$Q$51,"Aprobada")&gt;0),OR(O35="",COUNTIF($F$2:$F$51,O35)=0,COUNTIFS($F$2:$F$51,O35,$Q$2:$Q$51,"Aprobada")&gt;0),OR(P35="",COUNTIF($F$2:$F$51,P35)=0,COUNTIFS($F$2:$F$51,P35,$Q$2:$Q$51,"Aprobada")&gt;0)),"Sí","No"),"")</f>
        <v/>
      </c>
      <c r="U35" s="9" t="str">
        <f aca="false">IF(Q35="Aprobada",TRIM(IF(NOT(OR(L35="",COUNTIF($F$2:$F$51,L35)=0,COUNTIFS($F$2:$F$51,L35,$Q$2:$Q$51,"Aprobada")&gt;0)),L35&amp;" ","")&amp;IF(NOT(OR(M35="",COUNTIF($F$2:$F$51,M35)=0,COUNTIFS($F$2:$F$51,M35,$Q$2:$Q$51,"Aprobada")&gt;0)),M35&amp;" ","")&amp;IF(NOT(OR(N35="",COUNTIF($F$2:$F$51,N35)=0,COUNTIFS($F$2:$F$51,N35,$Q$2:$Q$51,"Aprobada")&gt;0)),N35&amp;" ","")&amp;IF(NOT(OR(O35="",COUNTIF($F$2:$F$51,O35)=0,COUNTIFS($F$2:$F$51,O35,$Q$2:$Q$51,"Aprobada")&gt;0)),O35&amp;" ","")&amp;IF(NOT(OR(P35="",COUNTIF($F$2:$F$51,P35)=0,COUNTIFS($F$2:$F$51,P35,$Q$2:$Q$51,"Aprobada")&gt;0)),P35&amp;" ","")),IF(Q35="Cursada aprobada",TRIM(IF(NOT(OR(L35="",COUNTIF($F$2:$F$51,L35)=0,COUNTIFS($F$2:$F$51,L35,$Q$2:$Q$51,"Aprobada")&gt;0,AND(Resumen!$B$15="La cursada aprobada",COUNTIFS($F$2:$F$51,L35,$Q$2:$Q$51,"Cursada aprobada")&gt;0))),L35&amp;" ","")&amp;IF(NOT(OR(M35="",COUNTIF($F$2:$F$51,M35)=0,COUNTIFS($F$2:$F$51,M35,$Q$2:$Q$51,"Aprobada")&gt;0,AND(Resumen!$B$15="La cursada aprobada",COUNTIFS($F$2:$F$51,M35,$Q$2:$Q$51,"Cursada aprobada")&gt;0))),M35&amp;" ","")&amp;IF(NOT(OR(N35="",COUNTIF($F$2:$F$51,N35)=0,COUNTIFS($F$2:$F$51,N35,$Q$2:$Q$51,"Aprobada")&gt;0,AND(Resumen!$B$15="La cursada aprobada",COUNTIFS($F$2:$F$51,N35,$Q$2:$Q$51,"Cursada aprobada")&gt;0))),N35&amp;" ","")&amp;IF(NOT(OR(O35="",COUNTIF($F$2:$F$51,O35)=0,COUNTIFS($F$2:$F$51,O35,$Q$2:$Q$51,"Aprobada")&gt;0,AND(Resumen!$B$15="La cursada aprobada",COUNTIFS($F$2:$F$51,O35,$Q$2:$Q$51,"Cursada aprobada")&gt;0))),O35&amp;" ","")&amp;IF(NOT(OR(P35="",COUNTIF($F$2:$F$51,P35)=0,COUNTIFS($F$2:$F$51,P35,$Q$2:$Q$51,"Aprobada")&gt;0,AND(Resumen!$B$15="La cursada aprobada",COUNTIFS($F$2:$F$51,P35,$Q$2:$Q$51,"Cursada aprobada")&gt;0))),P35&amp;" ","")),""))</f>
        <v/>
      </c>
    </row>
    <row r="36" customFormat="false" ht="15" hidden="false" customHeight="false" outlineLevel="0" collapsed="false">
      <c r="A36" s="8" t="s">
        <v>214</v>
      </c>
      <c r="B36" s="8" t="s">
        <v>224</v>
      </c>
      <c r="C36" s="9" t="s">
        <v>216</v>
      </c>
      <c r="D36" s="9" t="n">
        <v>1</v>
      </c>
      <c r="E36" s="9" t="s">
        <v>59</v>
      </c>
      <c r="F36" s="9" t="n">
        <v>1032</v>
      </c>
      <c r="G36" s="8" t="s">
        <v>165</v>
      </c>
      <c r="H36" s="9" t="s">
        <v>61</v>
      </c>
      <c r="I36" s="9" t="n">
        <v>4</v>
      </c>
      <c r="J36" s="9"/>
      <c r="K36" s="9" t="n">
        <v>64</v>
      </c>
      <c r="L36" s="9" t="n">
        <v>208</v>
      </c>
      <c r="M36" s="9" t="n">
        <v>314</v>
      </c>
      <c r="N36" s="9"/>
      <c r="O36" s="9"/>
      <c r="P36" s="9"/>
      <c r="Q36" s="10" t="s">
        <v>62</v>
      </c>
      <c r="R36" s="9" t="str">
        <f aca="false">IF(Q36="Aprobada","Ya aprobada",IF(Q36="Cursada aprobada","Ya cursada",IF(AND(OR(L36="",COUNTIF($F$2:$F$51,L36)=0,COUNTIFS($F$2:$F$51,L36,$Q$2:$Q$51,"Aprobada")&gt;0,AND(Resumen!$B$15="La cursada aprobada",COUNTIFS($F$2:$F$51,L36,$Q$2:$Q$51,"Cursada aprobada")&gt;0)),OR(M36="",COUNTIF($F$2:$F$51,M36)=0,COUNTIFS($F$2:$F$51,M36,$Q$2:$Q$51,"Aprobada")&gt;0,AND(Resumen!$B$15="La cursada aprobada",COUNTIFS($F$2:$F$51,M36,$Q$2:$Q$51,"Cursada aprobada")&gt;0)),OR(N36="",COUNTIF($F$2:$F$51,N36)=0,COUNTIFS($F$2:$F$51,N36,$Q$2:$Q$51,"Aprobada")&gt;0,AND(Resumen!$B$15="La cursada aprobada",COUNTIFS($F$2:$F$51,N36,$Q$2:$Q$51,"Cursada aprobada")&gt;0)),OR(O36="",COUNTIF($F$2:$F$51,O36)=0,COUNTIFS($F$2:$F$51,O36,$Q$2:$Q$51,"Aprobada")&gt;0,AND(Resumen!$B$15="La cursada aprobada",COUNTIFS($F$2:$F$51,O36,$Q$2:$Q$51,"Cursada aprobada")&gt;0)),OR(P36="",COUNTIF($F$2:$F$51,P36)=0,COUNTIFS($F$2:$F$51,P36,$Q$2:$Q$51,"Aprobada")&gt;0,AND(Resumen!$B$15="La cursada aprobada",COUNTIFS($F$2:$F$51,P36,$Q$2:$Q$51,"Cursada aprobada")&gt;0))),"Sí","No")))</f>
        <v>No</v>
      </c>
      <c r="S36" s="8" t="str">
        <f aca="false">TRIM(IF(NOT(OR(L36="",COUNTIF($F$2:$F$51,L36)=0,COUNTIFS($F$2:$F$51,L36,$Q$2:$Q$51,"Aprobada")&gt;0,AND(Resumen!$B$15="La cursada aprobada",COUNTIFS($F$2:$F$51,L36,$Q$2:$Q$51,"Cursada aprobada")&gt;0))),L36&amp;" ","")&amp;IF(NOT(OR(M36="",COUNTIF($F$2:$F$51,M36)=0,COUNTIFS($F$2:$F$51,M36,$Q$2:$Q$51,"Aprobada")&gt;0,AND(Resumen!$B$15="La cursada aprobada",COUNTIFS($F$2:$F$51,M36,$Q$2:$Q$51,"Cursada aprobada")&gt;0))),M36&amp;" ","")&amp;IF(NOT(OR(N36="",COUNTIF($F$2:$F$51,N36)=0,COUNTIFS($F$2:$F$51,N36,$Q$2:$Q$51,"Aprobada")&gt;0,AND(Resumen!$B$15="La cursada aprobada",COUNTIFS($F$2:$F$51,N36,$Q$2:$Q$51,"Cursada aprobada")&gt;0))),N36&amp;" ","")&amp;IF(NOT(OR(O36="",COUNTIF($F$2:$F$51,O36)=0,COUNTIFS($F$2:$F$51,O36,$Q$2:$Q$51,"Aprobada")&gt;0,AND(Resumen!$B$15="La cursada aprobada",COUNTIFS($F$2:$F$51,O36,$Q$2:$Q$51,"Cursada aprobada")&gt;0))),O36&amp;" ","")&amp;IF(NOT(OR(P36="",COUNTIF($F$2:$F$51,P36)=0,COUNTIFS($F$2:$F$51,P36,$Q$2:$Q$51,"Aprobada")&gt;0,AND(Resumen!$B$15="La cursada aprobada",COUNTIFS($F$2:$F$51,P36,$Q$2:$Q$51,"Cursada aprobada")&gt;0))),P36&amp;" ",""))</f>
        <v>208 314</v>
      </c>
      <c r="T36" s="9" t="str">
        <f aca="false">IF(Q36="Cursada aprobada",IF(AND(OR(L36="",COUNTIF($F$2:$F$51,L36)=0,COUNTIFS($F$2:$F$51,L36,$Q$2:$Q$51,"Aprobada")&gt;0),OR(M36="",COUNTIF($F$2:$F$51,M36)=0,COUNTIFS($F$2:$F$51,M36,$Q$2:$Q$51,"Aprobada")&gt;0),OR(N36="",COUNTIF($F$2:$F$51,N36)=0,COUNTIFS($F$2:$F$51,N36,$Q$2:$Q$51,"Aprobada")&gt;0),OR(O36="",COUNTIF($F$2:$F$51,O36)=0,COUNTIFS($F$2:$F$51,O36,$Q$2:$Q$51,"Aprobada")&gt;0),OR(P36="",COUNTIF($F$2:$F$51,P36)=0,COUNTIFS($F$2:$F$51,P36,$Q$2:$Q$51,"Aprobada")&gt;0)),"Sí","No"),"")</f>
        <v/>
      </c>
      <c r="U36" s="9" t="str">
        <f aca="false">IF(Q36="Aprobada",TRIM(IF(NOT(OR(L36="",COUNTIF($F$2:$F$51,L36)=0,COUNTIFS($F$2:$F$51,L36,$Q$2:$Q$51,"Aprobada")&gt;0)),L36&amp;" ","")&amp;IF(NOT(OR(M36="",COUNTIF($F$2:$F$51,M36)=0,COUNTIFS($F$2:$F$51,M36,$Q$2:$Q$51,"Aprobada")&gt;0)),M36&amp;" ","")&amp;IF(NOT(OR(N36="",COUNTIF($F$2:$F$51,N36)=0,COUNTIFS($F$2:$F$51,N36,$Q$2:$Q$51,"Aprobada")&gt;0)),N36&amp;" ","")&amp;IF(NOT(OR(O36="",COUNTIF($F$2:$F$51,O36)=0,COUNTIFS($F$2:$F$51,O36,$Q$2:$Q$51,"Aprobada")&gt;0)),O36&amp;" ","")&amp;IF(NOT(OR(P36="",COUNTIF($F$2:$F$51,P36)=0,COUNTIFS($F$2:$F$51,P36,$Q$2:$Q$51,"Aprobada")&gt;0)),P36&amp;" ","")),IF(Q36="Cursada aprobada",TRIM(IF(NOT(OR(L36="",COUNTIF($F$2:$F$51,L36)=0,COUNTIFS($F$2:$F$51,L36,$Q$2:$Q$51,"Aprobada")&gt;0,AND(Resumen!$B$15="La cursada aprobada",COUNTIFS($F$2:$F$51,L36,$Q$2:$Q$51,"Cursada aprobada")&gt;0))),L36&amp;" ","")&amp;IF(NOT(OR(M36="",COUNTIF($F$2:$F$51,M36)=0,COUNTIFS($F$2:$F$51,M36,$Q$2:$Q$51,"Aprobada")&gt;0,AND(Resumen!$B$15="La cursada aprobada",COUNTIFS($F$2:$F$51,M36,$Q$2:$Q$51,"Cursada aprobada")&gt;0))),M36&amp;" ","")&amp;IF(NOT(OR(N36="",COUNTIF($F$2:$F$51,N36)=0,COUNTIFS($F$2:$F$51,N36,$Q$2:$Q$51,"Aprobada")&gt;0,AND(Resumen!$B$15="La cursada aprobada",COUNTIFS($F$2:$F$51,N36,$Q$2:$Q$51,"Cursada aprobada")&gt;0))),N36&amp;" ","")&amp;IF(NOT(OR(O36="",COUNTIF($F$2:$F$51,O36)=0,COUNTIFS($F$2:$F$51,O36,$Q$2:$Q$51,"Aprobada")&gt;0,AND(Resumen!$B$15="La cursada aprobada",COUNTIFS($F$2:$F$51,O36,$Q$2:$Q$51,"Cursada aprobada")&gt;0))),O36&amp;" ","")&amp;IF(NOT(OR(P36="",COUNTIF($F$2:$F$51,P36)=0,COUNTIFS($F$2:$F$51,P36,$Q$2:$Q$51,"Aprobada")&gt;0,AND(Resumen!$B$15="La cursada aprobada",COUNTIFS($F$2:$F$51,P36,$Q$2:$Q$51,"Cursada aprobada")&gt;0))),P36&amp;" ","")),""))</f>
        <v/>
      </c>
    </row>
    <row r="37" customFormat="false" ht="15" hidden="false" customHeight="false" outlineLevel="0" collapsed="false">
      <c r="A37" s="8" t="s">
        <v>214</v>
      </c>
      <c r="B37" s="8" t="s">
        <v>224</v>
      </c>
      <c r="C37" s="9" t="s">
        <v>216</v>
      </c>
      <c r="D37" s="9" t="n">
        <v>2</v>
      </c>
      <c r="E37" s="9" t="s">
        <v>59</v>
      </c>
      <c r="F37" s="9" t="n">
        <v>1033</v>
      </c>
      <c r="G37" s="8" t="s">
        <v>227</v>
      </c>
      <c r="H37" s="9" t="s">
        <v>92</v>
      </c>
      <c r="I37" s="9" t="n">
        <v>4</v>
      </c>
      <c r="J37" s="9"/>
      <c r="K37" s="9" t="n">
        <v>64</v>
      </c>
      <c r="L37" s="9" t="n">
        <v>208</v>
      </c>
      <c r="M37" s="9" t="n">
        <v>314</v>
      </c>
      <c r="N37" s="9"/>
      <c r="O37" s="9"/>
      <c r="P37" s="9"/>
      <c r="Q37" s="10" t="s">
        <v>62</v>
      </c>
      <c r="R37" s="9" t="str">
        <f aca="false">IF(Q37="Aprobada","Ya aprobada",IF(Q37="Cursada aprobada","Ya cursada",IF(AND(OR(L37="",COUNTIF($F$2:$F$51,L37)=0,COUNTIFS($F$2:$F$51,L37,$Q$2:$Q$51,"Aprobada")&gt;0,AND(Resumen!$B$15="La cursada aprobada",COUNTIFS($F$2:$F$51,L37,$Q$2:$Q$51,"Cursada aprobada")&gt;0)),OR(M37="",COUNTIF($F$2:$F$51,M37)=0,COUNTIFS($F$2:$F$51,M37,$Q$2:$Q$51,"Aprobada")&gt;0,AND(Resumen!$B$15="La cursada aprobada",COUNTIFS($F$2:$F$51,M37,$Q$2:$Q$51,"Cursada aprobada")&gt;0)),OR(N37="",COUNTIF($F$2:$F$51,N37)=0,COUNTIFS($F$2:$F$51,N37,$Q$2:$Q$51,"Aprobada")&gt;0,AND(Resumen!$B$15="La cursada aprobada",COUNTIFS($F$2:$F$51,N37,$Q$2:$Q$51,"Cursada aprobada")&gt;0)),OR(O37="",COUNTIF($F$2:$F$51,O37)=0,COUNTIFS($F$2:$F$51,O37,$Q$2:$Q$51,"Aprobada")&gt;0,AND(Resumen!$B$15="La cursada aprobada",COUNTIFS($F$2:$F$51,O37,$Q$2:$Q$51,"Cursada aprobada")&gt;0)),OR(P37="",COUNTIF($F$2:$F$51,P37)=0,COUNTIFS($F$2:$F$51,P37,$Q$2:$Q$51,"Aprobada")&gt;0,AND(Resumen!$B$15="La cursada aprobada",COUNTIFS($F$2:$F$51,P37,$Q$2:$Q$51,"Cursada aprobada")&gt;0))),"Sí","No")))</f>
        <v>No</v>
      </c>
      <c r="S37" s="8" t="str">
        <f aca="false">TRIM(IF(NOT(OR(L37="",COUNTIF($F$2:$F$51,L37)=0,COUNTIFS($F$2:$F$51,L37,$Q$2:$Q$51,"Aprobada")&gt;0,AND(Resumen!$B$15="La cursada aprobada",COUNTIFS($F$2:$F$51,L37,$Q$2:$Q$51,"Cursada aprobada")&gt;0))),L37&amp;" ","")&amp;IF(NOT(OR(M37="",COUNTIF($F$2:$F$51,M37)=0,COUNTIFS($F$2:$F$51,M37,$Q$2:$Q$51,"Aprobada")&gt;0,AND(Resumen!$B$15="La cursada aprobada",COUNTIFS($F$2:$F$51,M37,$Q$2:$Q$51,"Cursada aprobada")&gt;0))),M37&amp;" ","")&amp;IF(NOT(OR(N37="",COUNTIF($F$2:$F$51,N37)=0,COUNTIFS($F$2:$F$51,N37,$Q$2:$Q$51,"Aprobada")&gt;0,AND(Resumen!$B$15="La cursada aprobada",COUNTIFS($F$2:$F$51,N37,$Q$2:$Q$51,"Cursada aprobada")&gt;0))),N37&amp;" ","")&amp;IF(NOT(OR(O37="",COUNTIF($F$2:$F$51,O37)=0,COUNTIFS($F$2:$F$51,O37,$Q$2:$Q$51,"Aprobada")&gt;0,AND(Resumen!$B$15="La cursada aprobada",COUNTIFS($F$2:$F$51,O37,$Q$2:$Q$51,"Cursada aprobada")&gt;0))),O37&amp;" ","")&amp;IF(NOT(OR(P37="",COUNTIF($F$2:$F$51,P37)=0,COUNTIFS($F$2:$F$51,P37,$Q$2:$Q$51,"Aprobada")&gt;0,AND(Resumen!$B$15="La cursada aprobada",COUNTIFS($F$2:$F$51,P37,$Q$2:$Q$51,"Cursada aprobada")&gt;0))),P37&amp;" ",""))</f>
        <v>208 314</v>
      </c>
      <c r="T37" s="9" t="str">
        <f aca="false">IF(Q37="Cursada aprobada",IF(AND(OR(L37="",COUNTIF($F$2:$F$51,L37)=0,COUNTIFS($F$2:$F$51,L37,$Q$2:$Q$51,"Aprobada")&gt;0),OR(M37="",COUNTIF($F$2:$F$51,M37)=0,COUNTIFS($F$2:$F$51,M37,$Q$2:$Q$51,"Aprobada")&gt;0),OR(N37="",COUNTIF($F$2:$F$51,N37)=0,COUNTIFS($F$2:$F$51,N37,$Q$2:$Q$51,"Aprobada")&gt;0),OR(O37="",COUNTIF($F$2:$F$51,O37)=0,COUNTIFS($F$2:$F$51,O37,$Q$2:$Q$51,"Aprobada")&gt;0),OR(P37="",COUNTIF($F$2:$F$51,P37)=0,COUNTIFS($F$2:$F$51,P37,$Q$2:$Q$51,"Aprobada")&gt;0)),"Sí","No"),"")</f>
        <v/>
      </c>
      <c r="U37" s="9" t="str">
        <f aca="false">IF(Q37="Aprobada",TRIM(IF(NOT(OR(L37="",COUNTIF($F$2:$F$51,L37)=0,COUNTIFS($F$2:$F$51,L37,$Q$2:$Q$51,"Aprobada")&gt;0)),L37&amp;" ","")&amp;IF(NOT(OR(M37="",COUNTIF($F$2:$F$51,M37)=0,COUNTIFS($F$2:$F$51,M37,$Q$2:$Q$51,"Aprobada")&gt;0)),M37&amp;" ","")&amp;IF(NOT(OR(N37="",COUNTIF($F$2:$F$51,N37)=0,COUNTIFS($F$2:$F$51,N37,$Q$2:$Q$51,"Aprobada")&gt;0)),N37&amp;" ","")&amp;IF(NOT(OR(O37="",COUNTIF($F$2:$F$51,O37)=0,COUNTIFS($F$2:$F$51,O37,$Q$2:$Q$51,"Aprobada")&gt;0)),O37&amp;" ","")&amp;IF(NOT(OR(P37="",COUNTIF($F$2:$F$51,P37)=0,COUNTIFS($F$2:$F$51,P37,$Q$2:$Q$51,"Aprobada")&gt;0)),P37&amp;" ","")),IF(Q37="Cursada aprobada",TRIM(IF(NOT(OR(L37="",COUNTIF($F$2:$F$51,L37)=0,COUNTIFS($F$2:$F$51,L37,$Q$2:$Q$51,"Aprobada")&gt;0,AND(Resumen!$B$15="La cursada aprobada",COUNTIFS($F$2:$F$51,L37,$Q$2:$Q$51,"Cursada aprobada")&gt;0))),L37&amp;" ","")&amp;IF(NOT(OR(M37="",COUNTIF($F$2:$F$51,M37)=0,COUNTIFS($F$2:$F$51,M37,$Q$2:$Q$51,"Aprobada")&gt;0,AND(Resumen!$B$15="La cursada aprobada",COUNTIFS($F$2:$F$51,M37,$Q$2:$Q$51,"Cursada aprobada")&gt;0))),M37&amp;" ","")&amp;IF(NOT(OR(N37="",COUNTIF($F$2:$F$51,N37)=0,COUNTIFS($F$2:$F$51,N37,$Q$2:$Q$51,"Aprobada")&gt;0,AND(Resumen!$B$15="La cursada aprobada",COUNTIFS($F$2:$F$51,N37,$Q$2:$Q$51,"Cursada aprobada")&gt;0))),N37&amp;" ","")&amp;IF(NOT(OR(O37="",COUNTIF($F$2:$F$51,O37)=0,COUNTIFS($F$2:$F$51,O37,$Q$2:$Q$51,"Aprobada")&gt;0,AND(Resumen!$B$15="La cursada aprobada",COUNTIFS($F$2:$F$51,O37,$Q$2:$Q$51,"Cursada aprobada")&gt;0))),O37&amp;" ","")&amp;IF(NOT(OR(P37="",COUNTIF($F$2:$F$51,P37)=0,COUNTIFS($F$2:$F$51,P37,$Q$2:$Q$51,"Aprobada")&gt;0,AND(Resumen!$B$15="La cursada aprobada",COUNTIFS($F$2:$F$51,P37,$Q$2:$Q$51,"Cursada aprobada")&gt;0))),P37&amp;" ","")),""))</f>
        <v/>
      </c>
    </row>
    <row r="38" customFormat="false" ht="15" hidden="false" customHeight="false" outlineLevel="0" collapsed="false">
      <c r="A38" s="8" t="s">
        <v>214</v>
      </c>
      <c r="B38" s="8" t="s">
        <v>224</v>
      </c>
      <c r="C38" s="9" t="s">
        <v>216</v>
      </c>
      <c r="D38" s="9" t="n">
        <v>2</v>
      </c>
      <c r="E38" s="9" t="s">
        <v>59</v>
      </c>
      <c r="F38" s="9" t="n">
        <v>1034</v>
      </c>
      <c r="G38" s="8" t="s">
        <v>160</v>
      </c>
      <c r="H38" s="9" t="s">
        <v>71</v>
      </c>
      <c r="I38" s="9" t="n">
        <v>4</v>
      </c>
      <c r="J38" s="9"/>
      <c r="K38" s="9" t="n">
        <v>64</v>
      </c>
      <c r="L38" s="9" t="n">
        <v>208</v>
      </c>
      <c r="M38" s="9" t="n">
        <v>314</v>
      </c>
      <c r="N38" s="9"/>
      <c r="O38" s="9"/>
      <c r="P38" s="9"/>
      <c r="Q38" s="10" t="s">
        <v>62</v>
      </c>
      <c r="R38" s="9" t="str">
        <f aca="false">IF(Q38="Aprobada","Ya aprobada",IF(Q38="Cursada aprobada","Ya cursada",IF(AND(OR(L38="",COUNTIF($F$2:$F$51,L38)=0,COUNTIFS($F$2:$F$51,L38,$Q$2:$Q$51,"Aprobada")&gt;0,AND(Resumen!$B$15="La cursada aprobada",COUNTIFS($F$2:$F$51,L38,$Q$2:$Q$51,"Cursada aprobada")&gt;0)),OR(M38="",COUNTIF($F$2:$F$51,M38)=0,COUNTIFS($F$2:$F$51,M38,$Q$2:$Q$51,"Aprobada")&gt;0,AND(Resumen!$B$15="La cursada aprobada",COUNTIFS($F$2:$F$51,M38,$Q$2:$Q$51,"Cursada aprobada")&gt;0)),OR(N38="",COUNTIF($F$2:$F$51,N38)=0,COUNTIFS($F$2:$F$51,N38,$Q$2:$Q$51,"Aprobada")&gt;0,AND(Resumen!$B$15="La cursada aprobada",COUNTIFS($F$2:$F$51,N38,$Q$2:$Q$51,"Cursada aprobada")&gt;0)),OR(O38="",COUNTIF($F$2:$F$51,O38)=0,COUNTIFS($F$2:$F$51,O38,$Q$2:$Q$51,"Aprobada")&gt;0,AND(Resumen!$B$15="La cursada aprobada",COUNTIFS($F$2:$F$51,O38,$Q$2:$Q$51,"Cursada aprobada")&gt;0)),OR(P38="",COUNTIF($F$2:$F$51,P38)=0,COUNTIFS($F$2:$F$51,P38,$Q$2:$Q$51,"Aprobada")&gt;0,AND(Resumen!$B$15="La cursada aprobada",COUNTIFS($F$2:$F$51,P38,$Q$2:$Q$51,"Cursada aprobada")&gt;0))),"Sí","No")))</f>
        <v>No</v>
      </c>
      <c r="S38" s="8" t="str">
        <f aca="false">TRIM(IF(NOT(OR(L38="",COUNTIF($F$2:$F$51,L38)=0,COUNTIFS($F$2:$F$51,L38,$Q$2:$Q$51,"Aprobada")&gt;0,AND(Resumen!$B$15="La cursada aprobada",COUNTIFS($F$2:$F$51,L38,$Q$2:$Q$51,"Cursada aprobada")&gt;0))),L38&amp;" ","")&amp;IF(NOT(OR(M38="",COUNTIF($F$2:$F$51,M38)=0,COUNTIFS($F$2:$F$51,M38,$Q$2:$Q$51,"Aprobada")&gt;0,AND(Resumen!$B$15="La cursada aprobada",COUNTIFS($F$2:$F$51,M38,$Q$2:$Q$51,"Cursada aprobada")&gt;0))),M38&amp;" ","")&amp;IF(NOT(OR(N38="",COUNTIF($F$2:$F$51,N38)=0,COUNTIFS($F$2:$F$51,N38,$Q$2:$Q$51,"Aprobada")&gt;0,AND(Resumen!$B$15="La cursada aprobada",COUNTIFS($F$2:$F$51,N38,$Q$2:$Q$51,"Cursada aprobada")&gt;0))),N38&amp;" ","")&amp;IF(NOT(OR(O38="",COUNTIF($F$2:$F$51,O38)=0,COUNTIFS($F$2:$F$51,O38,$Q$2:$Q$51,"Aprobada")&gt;0,AND(Resumen!$B$15="La cursada aprobada",COUNTIFS($F$2:$F$51,O38,$Q$2:$Q$51,"Cursada aprobada")&gt;0))),O38&amp;" ","")&amp;IF(NOT(OR(P38="",COUNTIF($F$2:$F$51,P38)=0,COUNTIFS($F$2:$F$51,P38,$Q$2:$Q$51,"Aprobada")&gt;0,AND(Resumen!$B$15="La cursada aprobada",COUNTIFS($F$2:$F$51,P38,$Q$2:$Q$51,"Cursada aprobada")&gt;0))),P38&amp;" ",""))</f>
        <v>208 314</v>
      </c>
      <c r="T38" s="9" t="str">
        <f aca="false">IF(Q38="Cursada aprobada",IF(AND(OR(L38="",COUNTIF($F$2:$F$51,L38)=0,COUNTIFS($F$2:$F$51,L38,$Q$2:$Q$51,"Aprobada")&gt;0),OR(M38="",COUNTIF($F$2:$F$51,M38)=0,COUNTIFS($F$2:$F$51,M38,$Q$2:$Q$51,"Aprobada")&gt;0),OR(N38="",COUNTIF($F$2:$F$51,N38)=0,COUNTIFS($F$2:$F$51,N38,$Q$2:$Q$51,"Aprobada")&gt;0),OR(O38="",COUNTIF($F$2:$F$51,O38)=0,COUNTIFS($F$2:$F$51,O38,$Q$2:$Q$51,"Aprobada")&gt;0),OR(P38="",COUNTIF($F$2:$F$51,P38)=0,COUNTIFS($F$2:$F$51,P38,$Q$2:$Q$51,"Aprobada")&gt;0)),"Sí","No"),"")</f>
        <v/>
      </c>
      <c r="U38" s="9" t="str">
        <f aca="false">IF(Q38="Aprobada",TRIM(IF(NOT(OR(L38="",COUNTIF($F$2:$F$51,L38)=0,COUNTIFS($F$2:$F$51,L38,$Q$2:$Q$51,"Aprobada")&gt;0)),L38&amp;" ","")&amp;IF(NOT(OR(M38="",COUNTIF($F$2:$F$51,M38)=0,COUNTIFS($F$2:$F$51,M38,$Q$2:$Q$51,"Aprobada")&gt;0)),M38&amp;" ","")&amp;IF(NOT(OR(N38="",COUNTIF($F$2:$F$51,N38)=0,COUNTIFS($F$2:$F$51,N38,$Q$2:$Q$51,"Aprobada")&gt;0)),N38&amp;" ","")&amp;IF(NOT(OR(O38="",COUNTIF($F$2:$F$51,O38)=0,COUNTIFS($F$2:$F$51,O38,$Q$2:$Q$51,"Aprobada")&gt;0)),O38&amp;" ","")&amp;IF(NOT(OR(P38="",COUNTIF($F$2:$F$51,P38)=0,COUNTIFS($F$2:$F$51,P38,$Q$2:$Q$51,"Aprobada")&gt;0)),P38&amp;" ","")),IF(Q38="Cursada aprobada",TRIM(IF(NOT(OR(L38="",COUNTIF($F$2:$F$51,L38)=0,COUNTIFS($F$2:$F$51,L38,$Q$2:$Q$51,"Aprobada")&gt;0,AND(Resumen!$B$15="La cursada aprobada",COUNTIFS($F$2:$F$51,L38,$Q$2:$Q$51,"Cursada aprobada")&gt;0))),L38&amp;" ","")&amp;IF(NOT(OR(M38="",COUNTIF($F$2:$F$51,M38)=0,COUNTIFS($F$2:$F$51,M38,$Q$2:$Q$51,"Aprobada")&gt;0,AND(Resumen!$B$15="La cursada aprobada",COUNTIFS($F$2:$F$51,M38,$Q$2:$Q$51,"Cursada aprobada")&gt;0))),M38&amp;" ","")&amp;IF(NOT(OR(N38="",COUNTIF($F$2:$F$51,N38)=0,COUNTIFS($F$2:$F$51,N38,$Q$2:$Q$51,"Aprobada")&gt;0,AND(Resumen!$B$15="La cursada aprobada",COUNTIFS($F$2:$F$51,N38,$Q$2:$Q$51,"Cursada aprobada")&gt;0))),N38&amp;" ","")&amp;IF(NOT(OR(O38="",COUNTIF($F$2:$F$51,O38)=0,COUNTIFS($F$2:$F$51,O38,$Q$2:$Q$51,"Aprobada")&gt;0,AND(Resumen!$B$15="La cursada aprobada",COUNTIFS($F$2:$F$51,O38,$Q$2:$Q$51,"Cursada aprobada")&gt;0))),O38&amp;" ","")&amp;IF(NOT(OR(P38="",COUNTIF($F$2:$F$51,P38)=0,COUNTIFS($F$2:$F$51,P38,$Q$2:$Q$51,"Aprobada")&gt;0,AND(Resumen!$B$15="La cursada aprobada",COUNTIFS($F$2:$F$51,P38,$Q$2:$Q$51,"Cursada aprobada")&gt;0))),P38&amp;" ","")),""))</f>
        <v/>
      </c>
    </row>
    <row r="39" customFormat="false" ht="15" hidden="false" customHeight="false" outlineLevel="0" collapsed="false">
      <c r="A39" s="8" t="s">
        <v>214</v>
      </c>
      <c r="B39" s="8" t="s">
        <v>224</v>
      </c>
      <c r="C39" s="9" t="s">
        <v>216</v>
      </c>
      <c r="D39" s="9" t="n">
        <v>1</v>
      </c>
      <c r="E39" s="9" t="s">
        <v>59</v>
      </c>
      <c r="F39" s="9" t="n">
        <v>1035</v>
      </c>
      <c r="G39" s="8" t="s">
        <v>228</v>
      </c>
      <c r="H39" s="9" t="s">
        <v>92</v>
      </c>
      <c r="I39" s="9" t="n">
        <v>4</v>
      </c>
      <c r="J39" s="9"/>
      <c r="K39" s="9" t="n">
        <v>64</v>
      </c>
      <c r="L39" s="9" t="n">
        <v>419</v>
      </c>
      <c r="M39" s="9"/>
      <c r="N39" s="9"/>
      <c r="O39" s="9"/>
      <c r="P39" s="9"/>
      <c r="Q39" s="10" t="s">
        <v>62</v>
      </c>
      <c r="R39" s="9" t="str">
        <f aca="false">IF(Q39="Aprobada","Ya aprobada",IF(Q39="Cursada aprobada","Ya cursada",IF(AND(OR(L39="",COUNTIF($F$2:$F$51,L39)=0,COUNTIFS($F$2:$F$51,L39,$Q$2:$Q$51,"Aprobada")&gt;0,AND(Resumen!$B$15="La cursada aprobada",COUNTIFS($F$2:$F$51,L39,$Q$2:$Q$51,"Cursada aprobada")&gt;0)),OR(M39="",COUNTIF($F$2:$F$51,M39)=0,COUNTIFS($F$2:$F$51,M39,$Q$2:$Q$51,"Aprobada")&gt;0,AND(Resumen!$B$15="La cursada aprobada",COUNTIFS($F$2:$F$51,M39,$Q$2:$Q$51,"Cursada aprobada")&gt;0)),OR(N39="",COUNTIF($F$2:$F$51,N39)=0,COUNTIFS($F$2:$F$51,N39,$Q$2:$Q$51,"Aprobada")&gt;0,AND(Resumen!$B$15="La cursada aprobada",COUNTIFS($F$2:$F$51,N39,$Q$2:$Q$51,"Cursada aprobada")&gt;0)),OR(O39="",COUNTIF($F$2:$F$51,O39)=0,COUNTIFS($F$2:$F$51,O39,$Q$2:$Q$51,"Aprobada")&gt;0,AND(Resumen!$B$15="La cursada aprobada",COUNTIFS($F$2:$F$51,O39,$Q$2:$Q$51,"Cursada aprobada")&gt;0)),OR(P39="",COUNTIF($F$2:$F$51,P39)=0,COUNTIFS($F$2:$F$51,P39,$Q$2:$Q$51,"Aprobada")&gt;0,AND(Resumen!$B$15="La cursada aprobada",COUNTIFS($F$2:$F$51,P39,$Q$2:$Q$51,"Cursada aprobada")&gt;0))),"Sí","No")))</f>
        <v>No</v>
      </c>
      <c r="S39" s="8" t="str">
        <f aca="false">TRIM(IF(NOT(OR(L39="",COUNTIF($F$2:$F$51,L39)=0,COUNTIFS($F$2:$F$51,L39,$Q$2:$Q$51,"Aprobada")&gt;0,AND(Resumen!$B$15="La cursada aprobada",COUNTIFS($F$2:$F$51,L39,$Q$2:$Q$51,"Cursada aprobada")&gt;0))),L39&amp;" ","")&amp;IF(NOT(OR(M39="",COUNTIF($F$2:$F$51,M39)=0,COUNTIFS($F$2:$F$51,M39,$Q$2:$Q$51,"Aprobada")&gt;0,AND(Resumen!$B$15="La cursada aprobada",COUNTIFS($F$2:$F$51,M39,$Q$2:$Q$51,"Cursada aprobada")&gt;0))),M39&amp;" ","")&amp;IF(NOT(OR(N39="",COUNTIF($F$2:$F$51,N39)=0,COUNTIFS($F$2:$F$51,N39,$Q$2:$Q$51,"Aprobada")&gt;0,AND(Resumen!$B$15="La cursada aprobada",COUNTIFS($F$2:$F$51,N39,$Q$2:$Q$51,"Cursada aprobada")&gt;0))),N39&amp;" ","")&amp;IF(NOT(OR(O39="",COUNTIF($F$2:$F$51,O39)=0,COUNTIFS($F$2:$F$51,O39,$Q$2:$Q$51,"Aprobada")&gt;0,AND(Resumen!$B$15="La cursada aprobada",COUNTIFS($F$2:$F$51,O39,$Q$2:$Q$51,"Cursada aprobada")&gt;0))),O39&amp;" ","")&amp;IF(NOT(OR(P39="",COUNTIF($F$2:$F$51,P39)=0,COUNTIFS($F$2:$F$51,P39,$Q$2:$Q$51,"Aprobada")&gt;0,AND(Resumen!$B$15="La cursada aprobada",COUNTIFS($F$2:$F$51,P39,$Q$2:$Q$51,"Cursada aprobada")&gt;0))),P39&amp;" ",""))</f>
        <v>419</v>
      </c>
      <c r="T39" s="9" t="str">
        <f aca="false">IF(Q39="Cursada aprobada",IF(AND(OR(L39="",COUNTIF($F$2:$F$51,L39)=0,COUNTIFS($F$2:$F$51,L39,$Q$2:$Q$51,"Aprobada")&gt;0),OR(M39="",COUNTIF($F$2:$F$51,M39)=0,COUNTIFS($F$2:$F$51,M39,$Q$2:$Q$51,"Aprobada")&gt;0),OR(N39="",COUNTIF($F$2:$F$51,N39)=0,COUNTIFS($F$2:$F$51,N39,$Q$2:$Q$51,"Aprobada")&gt;0),OR(O39="",COUNTIF($F$2:$F$51,O39)=0,COUNTIFS($F$2:$F$51,O39,$Q$2:$Q$51,"Aprobada")&gt;0),OR(P39="",COUNTIF($F$2:$F$51,P39)=0,COUNTIFS($F$2:$F$51,P39,$Q$2:$Q$51,"Aprobada")&gt;0)),"Sí","No"),"")</f>
        <v/>
      </c>
      <c r="U39" s="9" t="str">
        <f aca="false">IF(Q39="Aprobada",TRIM(IF(NOT(OR(L39="",COUNTIF($F$2:$F$51,L39)=0,COUNTIFS($F$2:$F$51,L39,$Q$2:$Q$51,"Aprobada")&gt;0)),L39&amp;" ","")&amp;IF(NOT(OR(M39="",COUNTIF($F$2:$F$51,M39)=0,COUNTIFS($F$2:$F$51,M39,$Q$2:$Q$51,"Aprobada")&gt;0)),M39&amp;" ","")&amp;IF(NOT(OR(N39="",COUNTIF($F$2:$F$51,N39)=0,COUNTIFS($F$2:$F$51,N39,$Q$2:$Q$51,"Aprobada")&gt;0)),N39&amp;" ","")&amp;IF(NOT(OR(O39="",COUNTIF($F$2:$F$51,O39)=0,COUNTIFS($F$2:$F$51,O39,$Q$2:$Q$51,"Aprobada")&gt;0)),O39&amp;" ","")&amp;IF(NOT(OR(P39="",COUNTIF($F$2:$F$51,P39)=0,COUNTIFS($F$2:$F$51,P39,$Q$2:$Q$51,"Aprobada")&gt;0)),P39&amp;" ","")),IF(Q39="Cursada aprobada",TRIM(IF(NOT(OR(L39="",COUNTIF($F$2:$F$51,L39)=0,COUNTIFS($F$2:$F$51,L39,$Q$2:$Q$51,"Aprobada")&gt;0,AND(Resumen!$B$15="La cursada aprobada",COUNTIFS($F$2:$F$51,L39,$Q$2:$Q$51,"Cursada aprobada")&gt;0))),L39&amp;" ","")&amp;IF(NOT(OR(M39="",COUNTIF($F$2:$F$51,M39)=0,COUNTIFS($F$2:$F$51,M39,$Q$2:$Q$51,"Aprobada")&gt;0,AND(Resumen!$B$15="La cursada aprobada",COUNTIFS($F$2:$F$51,M39,$Q$2:$Q$51,"Cursada aprobada")&gt;0))),M39&amp;" ","")&amp;IF(NOT(OR(N39="",COUNTIF($F$2:$F$51,N39)=0,COUNTIFS($F$2:$F$51,N39,$Q$2:$Q$51,"Aprobada")&gt;0,AND(Resumen!$B$15="La cursada aprobada",COUNTIFS($F$2:$F$51,N39,$Q$2:$Q$51,"Cursada aprobada")&gt;0))),N39&amp;" ","")&amp;IF(NOT(OR(O39="",COUNTIF($F$2:$F$51,O39)=0,COUNTIFS($F$2:$F$51,O39,$Q$2:$Q$51,"Aprobada")&gt;0,AND(Resumen!$B$15="La cursada aprobada",COUNTIFS($F$2:$F$51,O39,$Q$2:$Q$51,"Cursada aprobada")&gt;0))),O39&amp;" ","")&amp;IF(NOT(OR(P39="",COUNTIF($F$2:$F$51,P39)=0,COUNTIFS($F$2:$F$51,P39,$Q$2:$Q$51,"Aprobada")&gt;0,AND(Resumen!$B$15="La cursada aprobada",COUNTIFS($F$2:$F$51,P39,$Q$2:$Q$51,"Cursada aprobada")&gt;0))),P39&amp;" ","")),""))</f>
        <v/>
      </c>
    </row>
    <row r="40" customFormat="false" ht="15" hidden="false" customHeight="false" outlineLevel="0" collapsed="false">
      <c r="A40" s="8" t="s">
        <v>214</v>
      </c>
      <c r="B40" s="8" t="s">
        <v>224</v>
      </c>
      <c r="C40" s="9" t="s">
        <v>216</v>
      </c>
      <c r="D40" s="9" t="n">
        <v>1</v>
      </c>
      <c r="E40" s="9" t="s">
        <v>63</v>
      </c>
      <c r="F40" s="9" t="n">
        <v>1036</v>
      </c>
      <c r="G40" s="8" t="s">
        <v>85</v>
      </c>
      <c r="H40" s="9" t="s">
        <v>61</v>
      </c>
      <c r="I40" s="9" t="n">
        <v>6</v>
      </c>
      <c r="J40" s="9"/>
      <c r="K40" s="9" t="n">
        <v>96</v>
      </c>
      <c r="L40" s="9" t="n">
        <v>103</v>
      </c>
      <c r="M40" s="9" t="n">
        <v>308</v>
      </c>
      <c r="N40" s="9"/>
      <c r="O40" s="9"/>
      <c r="P40" s="9"/>
      <c r="Q40" s="10" t="s">
        <v>62</v>
      </c>
      <c r="R40" s="9" t="str">
        <f aca="false">IF(Q40="Aprobada","Ya aprobada",IF(Q40="Cursada aprobada","Ya cursada",IF(AND(OR(L40="",COUNTIF($F$2:$F$51,L40)=0,COUNTIFS($F$2:$F$51,L40,$Q$2:$Q$51,"Aprobada")&gt;0,AND(Resumen!$B$15="La cursada aprobada",COUNTIFS($F$2:$F$51,L40,$Q$2:$Q$51,"Cursada aprobada")&gt;0)),OR(M40="",COUNTIF($F$2:$F$51,M40)=0,COUNTIFS($F$2:$F$51,M40,$Q$2:$Q$51,"Aprobada")&gt;0,AND(Resumen!$B$15="La cursada aprobada",COUNTIFS($F$2:$F$51,M40,$Q$2:$Q$51,"Cursada aprobada")&gt;0)),OR(N40="",COUNTIF($F$2:$F$51,N40)=0,COUNTIFS($F$2:$F$51,N40,$Q$2:$Q$51,"Aprobada")&gt;0,AND(Resumen!$B$15="La cursada aprobada",COUNTIFS($F$2:$F$51,N40,$Q$2:$Q$51,"Cursada aprobada")&gt;0)),OR(O40="",COUNTIF($F$2:$F$51,O40)=0,COUNTIFS($F$2:$F$51,O40,$Q$2:$Q$51,"Aprobada")&gt;0,AND(Resumen!$B$15="La cursada aprobada",COUNTIFS($F$2:$F$51,O40,$Q$2:$Q$51,"Cursada aprobada")&gt;0)),OR(P40="",COUNTIF($F$2:$F$51,P40)=0,COUNTIFS($F$2:$F$51,P40,$Q$2:$Q$51,"Aprobada")&gt;0,AND(Resumen!$B$15="La cursada aprobada",COUNTIFS($F$2:$F$51,P40,$Q$2:$Q$51,"Cursada aprobada")&gt;0))),"Sí","No")))</f>
        <v>No</v>
      </c>
      <c r="S40" s="8" t="str">
        <f aca="false">TRIM(IF(NOT(OR(L40="",COUNTIF($F$2:$F$51,L40)=0,COUNTIFS($F$2:$F$51,L40,$Q$2:$Q$51,"Aprobada")&gt;0,AND(Resumen!$B$15="La cursada aprobada",COUNTIFS($F$2:$F$51,L40,$Q$2:$Q$51,"Cursada aprobada")&gt;0))),L40&amp;" ","")&amp;IF(NOT(OR(M40="",COUNTIF($F$2:$F$51,M40)=0,COUNTIFS($F$2:$F$51,M40,$Q$2:$Q$51,"Aprobada")&gt;0,AND(Resumen!$B$15="La cursada aprobada",COUNTIFS($F$2:$F$51,M40,$Q$2:$Q$51,"Cursada aprobada")&gt;0))),M40&amp;" ","")&amp;IF(NOT(OR(N40="",COUNTIF($F$2:$F$51,N40)=0,COUNTIFS($F$2:$F$51,N40,$Q$2:$Q$51,"Aprobada")&gt;0,AND(Resumen!$B$15="La cursada aprobada",COUNTIFS($F$2:$F$51,N40,$Q$2:$Q$51,"Cursada aprobada")&gt;0))),N40&amp;" ","")&amp;IF(NOT(OR(O40="",COUNTIF($F$2:$F$51,O40)=0,COUNTIFS($F$2:$F$51,O40,$Q$2:$Q$51,"Aprobada")&gt;0,AND(Resumen!$B$15="La cursada aprobada",COUNTIFS($F$2:$F$51,O40,$Q$2:$Q$51,"Cursada aprobada")&gt;0))),O40&amp;" ","")&amp;IF(NOT(OR(P40="",COUNTIF($F$2:$F$51,P40)=0,COUNTIFS($F$2:$F$51,P40,$Q$2:$Q$51,"Aprobada")&gt;0,AND(Resumen!$B$15="La cursada aprobada",COUNTIFS($F$2:$F$51,P40,$Q$2:$Q$51,"Cursada aprobada")&gt;0))),P40&amp;" ",""))</f>
        <v>103 308</v>
      </c>
      <c r="T40" s="9" t="str">
        <f aca="false">IF(Q40="Cursada aprobada",IF(AND(OR(L40="",COUNTIF($F$2:$F$51,L40)=0,COUNTIFS($F$2:$F$51,L40,$Q$2:$Q$51,"Aprobada")&gt;0),OR(M40="",COUNTIF($F$2:$F$51,M40)=0,COUNTIFS($F$2:$F$51,M40,$Q$2:$Q$51,"Aprobada")&gt;0),OR(N40="",COUNTIF($F$2:$F$51,N40)=0,COUNTIFS($F$2:$F$51,N40,$Q$2:$Q$51,"Aprobada")&gt;0),OR(O40="",COUNTIF($F$2:$F$51,O40)=0,COUNTIFS($F$2:$F$51,O40,$Q$2:$Q$51,"Aprobada")&gt;0),OR(P40="",COUNTIF($F$2:$F$51,P40)=0,COUNTIFS($F$2:$F$51,P40,$Q$2:$Q$51,"Aprobada")&gt;0)),"Sí","No"),"")</f>
        <v/>
      </c>
      <c r="U40" s="9" t="str">
        <f aca="false">IF(Q40="Aprobada",TRIM(IF(NOT(OR(L40="",COUNTIF($F$2:$F$51,L40)=0,COUNTIFS($F$2:$F$51,L40,$Q$2:$Q$51,"Aprobada")&gt;0)),L40&amp;" ","")&amp;IF(NOT(OR(M40="",COUNTIF($F$2:$F$51,M40)=0,COUNTIFS($F$2:$F$51,M40,$Q$2:$Q$51,"Aprobada")&gt;0)),M40&amp;" ","")&amp;IF(NOT(OR(N40="",COUNTIF($F$2:$F$51,N40)=0,COUNTIFS($F$2:$F$51,N40,$Q$2:$Q$51,"Aprobada")&gt;0)),N40&amp;" ","")&amp;IF(NOT(OR(O40="",COUNTIF($F$2:$F$51,O40)=0,COUNTIFS($F$2:$F$51,O40,$Q$2:$Q$51,"Aprobada")&gt;0)),O40&amp;" ","")&amp;IF(NOT(OR(P40="",COUNTIF($F$2:$F$51,P40)=0,COUNTIFS($F$2:$F$51,P40,$Q$2:$Q$51,"Aprobada")&gt;0)),P40&amp;" ","")),IF(Q40="Cursada aprobada",TRIM(IF(NOT(OR(L40="",COUNTIF($F$2:$F$51,L40)=0,COUNTIFS($F$2:$F$51,L40,$Q$2:$Q$51,"Aprobada")&gt;0,AND(Resumen!$B$15="La cursada aprobada",COUNTIFS($F$2:$F$51,L40,$Q$2:$Q$51,"Cursada aprobada")&gt;0))),L40&amp;" ","")&amp;IF(NOT(OR(M40="",COUNTIF($F$2:$F$51,M40)=0,COUNTIFS($F$2:$F$51,M40,$Q$2:$Q$51,"Aprobada")&gt;0,AND(Resumen!$B$15="La cursada aprobada",COUNTIFS($F$2:$F$51,M40,$Q$2:$Q$51,"Cursada aprobada")&gt;0))),M40&amp;" ","")&amp;IF(NOT(OR(N40="",COUNTIF($F$2:$F$51,N40)=0,COUNTIFS($F$2:$F$51,N40,$Q$2:$Q$51,"Aprobada")&gt;0,AND(Resumen!$B$15="La cursada aprobada",COUNTIFS($F$2:$F$51,N40,$Q$2:$Q$51,"Cursada aprobada")&gt;0))),N40&amp;" ","")&amp;IF(NOT(OR(O40="",COUNTIF($F$2:$F$51,O40)=0,COUNTIFS($F$2:$F$51,O40,$Q$2:$Q$51,"Aprobada")&gt;0,AND(Resumen!$B$15="La cursada aprobada",COUNTIFS($F$2:$F$51,O40,$Q$2:$Q$51,"Cursada aprobada")&gt;0))),O40&amp;" ","")&amp;IF(NOT(OR(P40="",COUNTIF($F$2:$F$51,P40)=0,COUNTIFS($F$2:$F$51,P40,$Q$2:$Q$51,"Aprobada")&gt;0,AND(Resumen!$B$15="La cursada aprobada",COUNTIFS($F$2:$F$51,P40,$Q$2:$Q$51,"Cursada aprobada")&gt;0))),P40&amp;" ","")),""))</f>
        <v/>
      </c>
    </row>
    <row r="41" customFormat="false" ht="15" hidden="false" customHeight="false" outlineLevel="0" collapsed="false">
      <c r="A41" s="8" t="s">
        <v>214</v>
      </c>
      <c r="B41" s="8" t="s">
        <v>224</v>
      </c>
      <c r="C41" s="9" t="s">
        <v>216</v>
      </c>
      <c r="D41" s="9" t="n">
        <v>2</v>
      </c>
      <c r="E41" s="9" t="s">
        <v>59</v>
      </c>
      <c r="F41" s="9" t="n">
        <v>1037</v>
      </c>
      <c r="G41" s="8" t="s">
        <v>229</v>
      </c>
      <c r="H41" s="9" t="s">
        <v>92</v>
      </c>
      <c r="I41" s="9" t="n">
        <v>2</v>
      </c>
      <c r="J41" s="9"/>
      <c r="K41" s="9" t="n">
        <v>32</v>
      </c>
      <c r="L41" s="9" t="n">
        <v>208</v>
      </c>
      <c r="M41" s="9" t="n">
        <v>314</v>
      </c>
      <c r="N41" s="9"/>
      <c r="O41" s="9"/>
      <c r="P41" s="9"/>
      <c r="Q41" s="10" t="s">
        <v>62</v>
      </c>
      <c r="R41" s="9" t="str">
        <f aca="false">IF(Q41="Aprobada","Ya aprobada",IF(Q41="Cursada aprobada","Ya cursada",IF(AND(OR(L41="",COUNTIF($F$2:$F$51,L41)=0,COUNTIFS($F$2:$F$51,L41,$Q$2:$Q$51,"Aprobada")&gt;0,AND(Resumen!$B$15="La cursada aprobada",COUNTIFS($F$2:$F$51,L41,$Q$2:$Q$51,"Cursada aprobada")&gt;0)),OR(M41="",COUNTIF($F$2:$F$51,M41)=0,COUNTIFS($F$2:$F$51,M41,$Q$2:$Q$51,"Aprobada")&gt;0,AND(Resumen!$B$15="La cursada aprobada",COUNTIFS($F$2:$F$51,M41,$Q$2:$Q$51,"Cursada aprobada")&gt;0)),OR(N41="",COUNTIF($F$2:$F$51,N41)=0,COUNTIFS($F$2:$F$51,N41,$Q$2:$Q$51,"Aprobada")&gt;0,AND(Resumen!$B$15="La cursada aprobada",COUNTIFS($F$2:$F$51,N41,$Q$2:$Q$51,"Cursada aprobada")&gt;0)),OR(O41="",COUNTIF($F$2:$F$51,O41)=0,COUNTIFS($F$2:$F$51,O41,$Q$2:$Q$51,"Aprobada")&gt;0,AND(Resumen!$B$15="La cursada aprobada",COUNTIFS($F$2:$F$51,O41,$Q$2:$Q$51,"Cursada aprobada")&gt;0)),OR(P41="",COUNTIF($F$2:$F$51,P41)=0,COUNTIFS($F$2:$F$51,P41,$Q$2:$Q$51,"Aprobada")&gt;0,AND(Resumen!$B$15="La cursada aprobada",COUNTIFS($F$2:$F$51,P41,$Q$2:$Q$51,"Cursada aprobada")&gt;0))),"Sí","No")))</f>
        <v>No</v>
      </c>
      <c r="S41" s="8" t="str">
        <f aca="false">TRIM(IF(NOT(OR(L41="",COUNTIF($F$2:$F$51,L41)=0,COUNTIFS($F$2:$F$51,L41,$Q$2:$Q$51,"Aprobada")&gt;0,AND(Resumen!$B$15="La cursada aprobada",COUNTIFS($F$2:$F$51,L41,$Q$2:$Q$51,"Cursada aprobada")&gt;0))),L41&amp;" ","")&amp;IF(NOT(OR(M41="",COUNTIF($F$2:$F$51,M41)=0,COUNTIFS($F$2:$F$51,M41,$Q$2:$Q$51,"Aprobada")&gt;0,AND(Resumen!$B$15="La cursada aprobada",COUNTIFS($F$2:$F$51,M41,$Q$2:$Q$51,"Cursada aprobada")&gt;0))),M41&amp;" ","")&amp;IF(NOT(OR(N41="",COUNTIF($F$2:$F$51,N41)=0,COUNTIFS($F$2:$F$51,N41,$Q$2:$Q$51,"Aprobada")&gt;0,AND(Resumen!$B$15="La cursada aprobada",COUNTIFS($F$2:$F$51,N41,$Q$2:$Q$51,"Cursada aprobada")&gt;0))),N41&amp;" ","")&amp;IF(NOT(OR(O41="",COUNTIF($F$2:$F$51,O41)=0,COUNTIFS($F$2:$F$51,O41,$Q$2:$Q$51,"Aprobada")&gt;0,AND(Resumen!$B$15="La cursada aprobada",COUNTIFS($F$2:$F$51,O41,$Q$2:$Q$51,"Cursada aprobada")&gt;0))),O41&amp;" ","")&amp;IF(NOT(OR(P41="",COUNTIF($F$2:$F$51,P41)=0,COUNTIFS($F$2:$F$51,P41,$Q$2:$Q$51,"Aprobada")&gt;0,AND(Resumen!$B$15="La cursada aprobada",COUNTIFS($F$2:$F$51,P41,$Q$2:$Q$51,"Cursada aprobada")&gt;0))),P41&amp;" ",""))</f>
        <v>208 314</v>
      </c>
      <c r="T41" s="9" t="str">
        <f aca="false">IF(Q41="Cursada aprobada",IF(AND(OR(L41="",COUNTIF($F$2:$F$51,L41)=0,COUNTIFS($F$2:$F$51,L41,$Q$2:$Q$51,"Aprobada")&gt;0),OR(M41="",COUNTIF($F$2:$F$51,M41)=0,COUNTIFS($F$2:$F$51,M41,$Q$2:$Q$51,"Aprobada")&gt;0),OR(N41="",COUNTIF($F$2:$F$51,N41)=0,COUNTIFS($F$2:$F$51,N41,$Q$2:$Q$51,"Aprobada")&gt;0),OR(O41="",COUNTIF($F$2:$F$51,O41)=0,COUNTIFS($F$2:$F$51,O41,$Q$2:$Q$51,"Aprobada")&gt;0),OR(P41="",COUNTIF($F$2:$F$51,P41)=0,COUNTIFS($F$2:$F$51,P41,$Q$2:$Q$51,"Aprobada")&gt;0)),"Sí","No"),"")</f>
        <v/>
      </c>
      <c r="U41" s="9" t="str">
        <f aca="false">IF(Q41="Aprobada",TRIM(IF(NOT(OR(L41="",COUNTIF($F$2:$F$51,L41)=0,COUNTIFS($F$2:$F$51,L41,$Q$2:$Q$51,"Aprobada")&gt;0)),L41&amp;" ","")&amp;IF(NOT(OR(M41="",COUNTIF($F$2:$F$51,M41)=0,COUNTIFS($F$2:$F$51,M41,$Q$2:$Q$51,"Aprobada")&gt;0)),M41&amp;" ","")&amp;IF(NOT(OR(N41="",COUNTIF($F$2:$F$51,N41)=0,COUNTIFS($F$2:$F$51,N41,$Q$2:$Q$51,"Aprobada")&gt;0)),N41&amp;" ","")&amp;IF(NOT(OR(O41="",COUNTIF($F$2:$F$51,O41)=0,COUNTIFS($F$2:$F$51,O41,$Q$2:$Q$51,"Aprobada")&gt;0)),O41&amp;" ","")&amp;IF(NOT(OR(P41="",COUNTIF($F$2:$F$51,P41)=0,COUNTIFS($F$2:$F$51,P41,$Q$2:$Q$51,"Aprobada")&gt;0)),P41&amp;" ","")),IF(Q41="Cursada aprobada",TRIM(IF(NOT(OR(L41="",COUNTIF($F$2:$F$51,L41)=0,COUNTIFS($F$2:$F$51,L41,$Q$2:$Q$51,"Aprobada")&gt;0,AND(Resumen!$B$15="La cursada aprobada",COUNTIFS($F$2:$F$51,L41,$Q$2:$Q$51,"Cursada aprobada")&gt;0))),L41&amp;" ","")&amp;IF(NOT(OR(M41="",COUNTIF($F$2:$F$51,M41)=0,COUNTIFS($F$2:$F$51,M41,$Q$2:$Q$51,"Aprobada")&gt;0,AND(Resumen!$B$15="La cursada aprobada",COUNTIFS($F$2:$F$51,M41,$Q$2:$Q$51,"Cursada aprobada")&gt;0))),M41&amp;" ","")&amp;IF(NOT(OR(N41="",COUNTIF($F$2:$F$51,N41)=0,COUNTIFS($F$2:$F$51,N41,$Q$2:$Q$51,"Aprobada")&gt;0,AND(Resumen!$B$15="La cursada aprobada",COUNTIFS($F$2:$F$51,N41,$Q$2:$Q$51,"Cursada aprobada")&gt;0))),N41&amp;" ","")&amp;IF(NOT(OR(O41="",COUNTIF($F$2:$F$51,O41)=0,COUNTIFS($F$2:$F$51,O41,$Q$2:$Q$51,"Aprobada")&gt;0,AND(Resumen!$B$15="La cursada aprobada",COUNTIFS($F$2:$F$51,O41,$Q$2:$Q$51,"Cursada aprobada")&gt;0))),O41&amp;" ","")&amp;IF(NOT(OR(P41="",COUNTIF($F$2:$F$51,P41)=0,COUNTIFS($F$2:$F$51,P41,$Q$2:$Q$51,"Aprobada")&gt;0,AND(Resumen!$B$15="La cursada aprobada",COUNTIFS($F$2:$F$51,P41,$Q$2:$Q$51,"Cursada aprobada")&gt;0))),P41&amp;" ","")),""))</f>
        <v/>
      </c>
    </row>
    <row r="42" customFormat="false" ht="15" hidden="false" customHeight="false" outlineLevel="0" collapsed="false">
      <c r="A42" s="8" t="s">
        <v>214</v>
      </c>
      <c r="B42" s="8" t="s">
        <v>224</v>
      </c>
      <c r="C42" s="9" t="s">
        <v>216</v>
      </c>
      <c r="D42" s="9" t="n">
        <v>2</v>
      </c>
      <c r="E42" s="9" t="s">
        <v>59</v>
      </c>
      <c r="F42" s="9" t="n">
        <v>1038</v>
      </c>
      <c r="G42" s="8" t="s">
        <v>230</v>
      </c>
      <c r="H42" s="9" t="s">
        <v>92</v>
      </c>
      <c r="I42" s="9" t="n">
        <v>2</v>
      </c>
      <c r="J42" s="9" t="n">
        <v>32</v>
      </c>
      <c r="K42" s="9"/>
      <c r="L42" s="9" t="n">
        <v>208</v>
      </c>
      <c r="M42" s="9" t="n">
        <v>314</v>
      </c>
      <c r="N42" s="9"/>
      <c r="O42" s="9"/>
      <c r="P42" s="9"/>
      <c r="Q42" s="10" t="s">
        <v>62</v>
      </c>
      <c r="R42" s="9" t="str">
        <f aca="false">IF(Q42="Aprobada","Ya aprobada",IF(Q42="Cursada aprobada","Ya cursada",IF(AND(OR(L42="",COUNTIF($F$2:$F$51,L42)=0,COUNTIFS($F$2:$F$51,L42,$Q$2:$Q$51,"Aprobada")&gt;0,AND(Resumen!$B$15="La cursada aprobada",COUNTIFS($F$2:$F$51,L42,$Q$2:$Q$51,"Cursada aprobada")&gt;0)),OR(M42="",COUNTIF($F$2:$F$51,M42)=0,COUNTIFS($F$2:$F$51,M42,$Q$2:$Q$51,"Aprobada")&gt;0,AND(Resumen!$B$15="La cursada aprobada",COUNTIFS($F$2:$F$51,M42,$Q$2:$Q$51,"Cursada aprobada")&gt;0)),OR(N42="",COUNTIF($F$2:$F$51,N42)=0,COUNTIFS($F$2:$F$51,N42,$Q$2:$Q$51,"Aprobada")&gt;0,AND(Resumen!$B$15="La cursada aprobada",COUNTIFS($F$2:$F$51,N42,$Q$2:$Q$51,"Cursada aprobada")&gt;0)),OR(O42="",COUNTIF($F$2:$F$51,O42)=0,COUNTIFS($F$2:$F$51,O42,$Q$2:$Q$51,"Aprobada")&gt;0,AND(Resumen!$B$15="La cursada aprobada",COUNTIFS($F$2:$F$51,O42,$Q$2:$Q$51,"Cursada aprobada")&gt;0)),OR(P42="",COUNTIF($F$2:$F$51,P42)=0,COUNTIFS($F$2:$F$51,P42,$Q$2:$Q$51,"Aprobada")&gt;0,AND(Resumen!$B$15="La cursada aprobada",COUNTIFS($F$2:$F$51,P42,$Q$2:$Q$51,"Cursada aprobada")&gt;0))),"Sí","No")))</f>
        <v>No</v>
      </c>
      <c r="S42" s="8" t="str">
        <f aca="false">TRIM(IF(NOT(OR(L42="",COUNTIF($F$2:$F$51,L42)=0,COUNTIFS($F$2:$F$51,L42,$Q$2:$Q$51,"Aprobada")&gt;0,AND(Resumen!$B$15="La cursada aprobada",COUNTIFS($F$2:$F$51,L42,$Q$2:$Q$51,"Cursada aprobada")&gt;0))),L42&amp;" ","")&amp;IF(NOT(OR(M42="",COUNTIF($F$2:$F$51,M42)=0,COUNTIFS($F$2:$F$51,M42,$Q$2:$Q$51,"Aprobada")&gt;0,AND(Resumen!$B$15="La cursada aprobada",COUNTIFS($F$2:$F$51,M42,$Q$2:$Q$51,"Cursada aprobada")&gt;0))),M42&amp;" ","")&amp;IF(NOT(OR(N42="",COUNTIF($F$2:$F$51,N42)=0,COUNTIFS($F$2:$F$51,N42,$Q$2:$Q$51,"Aprobada")&gt;0,AND(Resumen!$B$15="La cursada aprobada",COUNTIFS($F$2:$F$51,N42,$Q$2:$Q$51,"Cursada aprobada")&gt;0))),N42&amp;" ","")&amp;IF(NOT(OR(O42="",COUNTIF($F$2:$F$51,O42)=0,COUNTIFS($F$2:$F$51,O42,$Q$2:$Q$51,"Aprobada")&gt;0,AND(Resumen!$B$15="La cursada aprobada",COUNTIFS($F$2:$F$51,O42,$Q$2:$Q$51,"Cursada aprobada")&gt;0))),O42&amp;" ","")&amp;IF(NOT(OR(P42="",COUNTIF($F$2:$F$51,P42)=0,COUNTIFS($F$2:$F$51,P42,$Q$2:$Q$51,"Aprobada")&gt;0,AND(Resumen!$B$15="La cursada aprobada",COUNTIFS($F$2:$F$51,P42,$Q$2:$Q$51,"Cursada aprobada")&gt;0))),P42&amp;" ",""))</f>
        <v>208 314</v>
      </c>
      <c r="T42" s="9" t="str">
        <f aca="false">IF(Q42="Cursada aprobada",IF(AND(OR(L42="",COUNTIF($F$2:$F$51,L42)=0,COUNTIFS($F$2:$F$51,L42,$Q$2:$Q$51,"Aprobada")&gt;0),OR(M42="",COUNTIF($F$2:$F$51,M42)=0,COUNTIFS($F$2:$F$51,M42,$Q$2:$Q$51,"Aprobada")&gt;0),OR(N42="",COUNTIF($F$2:$F$51,N42)=0,COUNTIFS($F$2:$F$51,N42,$Q$2:$Q$51,"Aprobada")&gt;0),OR(O42="",COUNTIF($F$2:$F$51,O42)=0,COUNTIFS($F$2:$F$51,O42,$Q$2:$Q$51,"Aprobada")&gt;0),OR(P42="",COUNTIF($F$2:$F$51,P42)=0,COUNTIFS($F$2:$F$51,P42,$Q$2:$Q$51,"Aprobada")&gt;0)),"Sí","No"),"")</f>
        <v/>
      </c>
      <c r="U42" s="9" t="str">
        <f aca="false">IF(Q42="Aprobada",TRIM(IF(NOT(OR(L42="",COUNTIF($F$2:$F$51,L42)=0,COUNTIFS($F$2:$F$51,L42,$Q$2:$Q$51,"Aprobada")&gt;0)),L42&amp;" ","")&amp;IF(NOT(OR(M42="",COUNTIF($F$2:$F$51,M42)=0,COUNTIFS($F$2:$F$51,M42,$Q$2:$Q$51,"Aprobada")&gt;0)),M42&amp;" ","")&amp;IF(NOT(OR(N42="",COUNTIF($F$2:$F$51,N42)=0,COUNTIFS($F$2:$F$51,N42,$Q$2:$Q$51,"Aprobada")&gt;0)),N42&amp;" ","")&amp;IF(NOT(OR(O42="",COUNTIF($F$2:$F$51,O42)=0,COUNTIFS($F$2:$F$51,O42,$Q$2:$Q$51,"Aprobada")&gt;0)),O42&amp;" ","")&amp;IF(NOT(OR(P42="",COUNTIF($F$2:$F$51,P42)=0,COUNTIFS($F$2:$F$51,P42,$Q$2:$Q$51,"Aprobada")&gt;0)),P42&amp;" ","")),IF(Q42="Cursada aprobada",TRIM(IF(NOT(OR(L42="",COUNTIF($F$2:$F$51,L42)=0,COUNTIFS($F$2:$F$51,L42,$Q$2:$Q$51,"Aprobada")&gt;0,AND(Resumen!$B$15="La cursada aprobada",COUNTIFS($F$2:$F$51,L42,$Q$2:$Q$51,"Cursada aprobada")&gt;0))),L42&amp;" ","")&amp;IF(NOT(OR(M42="",COUNTIF($F$2:$F$51,M42)=0,COUNTIFS($F$2:$F$51,M42,$Q$2:$Q$51,"Aprobada")&gt;0,AND(Resumen!$B$15="La cursada aprobada",COUNTIFS($F$2:$F$51,M42,$Q$2:$Q$51,"Cursada aprobada")&gt;0))),M42&amp;" ","")&amp;IF(NOT(OR(N42="",COUNTIF($F$2:$F$51,N42)=0,COUNTIFS($F$2:$F$51,N42,$Q$2:$Q$51,"Aprobada")&gt;0,AND(Resumen!$B$15="La cursada aprobada",COUNTIFS($F$2:$F$51,N42,$Q$2:$Q$51,"Cursada aprobada")&gt;0))),N42&amp;" ","")&amp;IF(NOT(OR(O42="",COUNTIF($F$2:$F$51,O42)=0,COUNTIFS($F$2:$F$51,O42,$Q$2:$Q$51,"Aprobada")&gt;0,AND(Resumen!$B$15="La cursada aprobada",COUNTIFS($F$2:$F$51,O42,$Q$2:$Q$51,"Cursada aprobada")&gt;0))),O42&amp;" ","")&amp;IF(NOT(OR(P42="",COUNTIF($F$2:$F$51,P42)=0,COUNTIFS($F$2:$F$51,P42,$Q$2:$Q$51,"Aprobada")&gt;0,AND(Resumen!$B$15="La cursada aprobada",COUNTIFS($F$2:$F$51,P42,$Q$2:$Q$51,"Cursada aprobada")&gt;0))),P42&amp;" ","")),""))</f>
        <v/>
      </c>
    </row>
    <row r="43" customFormat="false" ht="15" hidden="false" customHeight="false" outlineLevel="0" collapsed="false">
      <c r="A43" s="8" t="s">
        <v>214</v>
      </c>
      <c r="B43" s="8" t="s">
        <v>224</v>
      </c>
      <c r="C43" s="9" t="s">
        <v>216</v>
      </c>
      <c r="D43" s="9" t="n">
        <v>1</v>
      </c>
      <c r="E43" s="9" t="s">
        <v>59</v>
      </c>
      <c r="F43" s="9" t="n">
        <v>1039</v>
      </c>
      <c r="G43" s="8" t="s">
        <v>231</v>
      </c>
      <c r="H43" s="9" t="s">
        <v>92</v>
      </c>
      <c r="I43" s="9" t="n">
        <v>2</v>
      </c>
      <c r="J43" s="9"/>
      <c r="K43" s="9" t="n">
        <v>32</v>
      </c>
      <c r="L43" s="9" t="n">
        <v>208</v>
      </c>
      <c r="M43" s="9" t="n">
        <v>314</v>
      </c>
      <c r="N43" s="9"/>
      <c r="O43" s="9"/>
      <c r="P43" s="9"/>
      <c r="Q43" s="10" t="s">
        <v>62</v>
      </c>
      <c r="R43" s="9" t="str">
        <f aca="false">IF(Q43="Aprobada","Ya aprobada",IF(Q43="Cursada aprobada","Ya cursada",IF(AND(OR(L43="",COUNTIF($F$2:$F$51,L43)=0,COUNTIFS($F$2:$F$51,L43,$Q$2:$Q$51,"Aprobada")&gt;0,AND(Resumen!$B$15="La cursada aprobada",COUNTIFS($F$2:$F$51,L43,$Q$2:$Q$51,"Cursada aprobada")&gt;0)),OR(M43="",COUNTIF($F$2:$F$51,M43)=0,COUNTIFS($F$2:$F$51,M43,$Q$2:$Q$51,"Aprobada")&gt;0,AND(Resumen!$B$15="La cursada aprobada",COUNTIFS($F$2:$F$51,M43,$Q$2:$Q$51,"Cursada aprobada")&gt;0)),OR(N43="",COUNTIF($F$2:$F$51,N43)=0,COUNTIFS($F$2:$F$51,N43,$Q$2:$Q$51,"Aprobada")&gt;0,AND(Resumen!$B$15="La cursada aprobada",COUNTIFS($F$2:$F$51,N43,$Q$2:$Q$51,"Cursada aprobada")&gt;0)),OR(O43="",COUNTIF($F$2:$F$51,O43)=0,COUNTIFS($F$2:$F$51,O43,$Q$2:$Q$51,"Aprobada")&gt;0,AND(Resumen!$B$15="La cursada aprobada",COUNTIFS($F$2:$F$51,O43,$Q$2:$Q$51,"Cursada aprobada")&gt;0)),OR(P43="",COUNTIF($F$2:$F$51,P43)=0,COUNTIFS($F$2:$F$51,P43,$Q$2:$Q$51,"Aprobada")&gt;0,AND(Resumen!$B$15="La cursada aprobada",COUNTIFS($F$2:$F$51,P43,$Q$2:$Q$51,"Cursada aprobada")&gt;0))),"Sí","No")))</f>
        <v>No</v>
      </c>
      <c r="S43" s="8" t="str">
        <f aca="false">TRIM(IF(NOT(OR(L43="",COUNTIF($F$2:$F$51,L43)=0,COUNTIFS($F$2:$F$51,L43,$Q$2:$Q$51,"Aprobada")&gt;0,AND(Resumen!$B$15="La cursada aprobada",COUNTIFS($F$2:$F$51,L43,$Q$2:$Q$51,"Cursada aprobada")&gt;0))),L43&amp;" ","")&amp;IF(NOT(OR(M43="",COUNTIF($F$2:$F$51,M43)=0,COUNTIFS($F$2:$F$51,M43,$Q$2:$Q$51,"Aprobada")&gt;0,AND(Resumen!$B$15="La cursada aprobada",COUNTIFS($F$2:$F$51,M43,$Q$2:$Q$51,"Cursada aprobada")&gt;0))),M43&amp;" ","")&amp;IF(NOT(OR(N43="",COUNTIF($F$2:$F$51,N43)=0,COUNTIFS($F$2:$F$51,N43,$Q$2:$Q$51,"Aprobada")&gt;0,AND(Resumen!$B$15="La cursada aprobada",COUNTIFS($F$2:$F$51,N43,$Q$2:$Q$51,"Cursada aprobada")&gt;0))),N43&amp;" ","")&amp;IF(NOT(OR(O43="",COUNTIF($F$2:$F$51,O43)=0,COUNTIFS($F$2:$F$51,O43,$Q$2:$Q$51,"Aprobada")&gt;0,AND(Resumen!$B$15="La cursada aprobada",COUNTIFS($F$2:$F$51,O43,$Q$2:$Q$51,"Cursada aprobada")&gt;0))),O43&amp;" ","")&amp;IF(NOT(OR(P43="",COUNTIF($F$2:$F$51,P43)=0,COUNTIFS($F$2:$F$51,P43,$Q$2:$Q$51,"Aprobada")&gt;0,AND(Resumen!$B$15="La cursada aprobada",COUNTIFS($F$2:$F$51,P43,$Q$2:$Q$51,"Cursada aprobada")&gt;0))),P43&amp;" ",""))</f>
        <v>208 314</v>
      </c>
      <c r="T43" s="9" t="str">
        <f aca="false">IF(Q43="Cursada aprobada",IF(AND(OR(L43="",COUNTIF($F$2:$F$51,L43)=0,COUNTIFS($F$2:$F$51,L43,$Q$2:$Q$51,"Aprobada")&gt;0),OR(M43="",COUNTIF($F$2:$F$51,M43)=0,COUNTIFS($F$2:$F$51,M43,$Q$2:$Q$51,"Aprobada")&gt;0),OR(N43="",COUNTIF($F$2:$F$51,N43)=0,COUNTIFS($F$2:$F$51,N43,$Q$2:$Q$51,"Aprobada")&gt;0),OR(O43="",COUNTIF($F$2:$F$51,O43)=0,COUNTIFS($F$2:$F$51,O43,$Q$2:$Q$51,"Aprobada")&gt;0),OR(P43="",COUNTIF($F$2:$F$51,P43)=0,COUNTIFS($F$2:$F$51,P43,$Q$2:$Q$51,"Aprobada")&gt;0)),"Sí","No"),"")</f>
        <v/>
      </c>
      <c r="U43" s="9" t="str">
        <f aca="false">IF(Q43="Aprobada",TRIM(IF(NOT(OR(L43="",COUNTIF($F$2:$F$51,L43)=0,COUNTIFS($F$2:$F$51,L43,$Q$2:$Q$51,"Aprobada")&gt;0)),L43&amp;" ","")&amp;IF(NOT(OR(M43="",COUNTIF($F$2:$F$51,M43)=0,COUNTIFS($F$2:$F$51,M43,$Q$2:$Q$51,"Aprobada")&gt;0)),M43&amp;" ","")&amp;IF(NOT(OR(N43="",COUNTIF($F$2:$F$51,N43)=0,COUNTIFS($F$2:$F$51,N43,$Q$2:$Q$51,"Aprobada")&gt;0)),N43&amp;" ","")&amp;IF(NOT(OR(O43="",COUNTIF($F$2:$F$51,O43)=0,COUNTIFS($F$2:$F$51,O43,$Q$2:$Q$51,"Aprobada")&gt;0)),O43&amp;" ","")&amp;IF(NOT(OR(P43="",COUNTIF($F$2:$F$51,P43)=0,COUNTIFS($F$2:$F$51,P43,$Q$2:$Q$51,"Aprobada")&gt;0)),P43&amp;" ","")),IF(Q43="Cursada aprobada",TRIM(IF(NOT(OR(L43="",COUNTIF($F$2:$F$51,L43)=0,COUNTIFS($F$2:$F$51,L43,$Q$2:$Q$51,"Aprobada")&gt;0,AND(Resumen!$B$15="La cursada aprobada",COUNTIFS($F$2:$F$51,L43,$Q$2:$Q$51,"Cursada aprobada")&gt;0))),L43&amp;" ","")&amp;IF(NOT(OR(M43="",COUNTIF($F$2:$F$51,M43)=0,COUNTIFS($F$2:$F$51,M43,$Q$2:$Q$51,"Aprobada")&gt;0,AND(Resumen!$B$15="La cursada aprobada",COUNTIFS($F$2:$F$51,M43,$Q$2:$Q$51,"Cursada aprobada")&gt;0))),M43&amp;" ","")&amp;IF(NOT(OR(N43="",COUNTIF($F$2:$F$51,N43)=0,COUNTIFS($F$2:$F$51,N43,$Q$2:$Q$51,"Aprobada")&gt;0,AND(Resumen!$B$15="La cursada aprobada",COUNTIFS($F$2:$F$51,N43,$Q$2:$Q$51,"Cursada aprobada")&gt;0))),N43&amp;" ","")&amp;IF(NOT(OR(O43="",COUNTIF($F$2:$F$51,O43)=0,COUNTIFS($F$2:$F$51,O43,$Q$2:$Q$51,"Aprobada")&gt;0,AND(Resumen!$B$15="La cursada aprobada",COUNTIFS($F$2:$F$51,O43,$Q$2:$Q$51,"Cursada aprobada")&gt;0))),O43&amp;" ","")&amp;IF(NOT(OR(P43="",COUNTIF($F$2:$F$51,P43)=0,COUNTIFS($F$2:$F$51,P43,$Q$2:$Q$51,"Aprobada")&gt;0,AND(Resumen!$B$15="La cursada aprobada",COUNTIFS($F$2:$F$51,P43,$Q$2:$Q$51,"Cursada aprobada")&gt;0))),P43&amp;" ","")),""))</f>
        <v/>
      </c>
    </row>
    <row r="44" customFormat="false" ht="15" hidden="false" customHeight="false" outlineLevel="0" collapsed="false">
      <c r="A44" s="8" t="s">
        <v>214</v>
      </c>
      <c r="B44" s="8" t="s">
        <v>224</v>
      </c>
      <c r="C44" s="9" t="s">
        <v>216</v>
      </c>
      <c r="D44" s="9" t="n">
        <v>2</v>
      </c>
      <c r="E44" s="9" t="s">
        <v>59</v>
      </c>
      <c r="F44" s="9" t="n">
        <v>1040</v>
      </c>
      <c r="G44" s="8" t="s">
        <v>232</v>
      </c>
      <c r="H44" s="9" t="s">
        <v>92</v>
      </c>
      <c r="I44" s="9" t="n">
        <v>2</v>
      </c>
      <c r="J44" s="9"/>
      <c r="K44" s="9" t="n">
        <v>32</v>
      </c>
      <c r="L44" s="9" t="n">
        <v>208</v>
      </c>
      <c r="M44" s="9" t="n">
        <v>314</v>
      </c>
      <c r="N44" s="9"/>
      <c r="O44" s="9"/>
      <c r="P44" s="9"/>
      <c r="Q44" s="10" t="s">
        <v>62</v>
      </c>
      <c r="R44" s="9" t="str">
        <f aca="false">IF(Q44="Aprobada","Ya aprobada",IF(Q44="Cursada aprobada","Ya cursada",IF(AND(OR(L44="",COUNTIF($F$2:$F$51,L44)=0,COUNTIFS($F$2:$F$51,L44,$Q$2:$Q$51,"Aprobada")&gt;0,AND(Resumen!$B$15="La cursada aprobada",COUNTIFS($F$2:$F$51,L44,$Q$2:$Q$51,"Cursada aprobada")&gt;0)),OR(M44="",COUNTIF($F$2:$F$51,M44)=0,COUNTIFS($F$2:$F$51,M44,$Q$2:$Q$51,"Aprobada")&gt;0,AND(Resumen!$B$15="La cursada aprobada",COUNTIFS($F$2:$F$51,M44,$Q$2:$Q$51,"Cursada aprobada")&gt;0)),OR(N44="",COUNTIF($F$2:$F$51,N44)=0,COUNTIFS($F$2:$F$51,N44,$Q$2:$Q$51,"Aprobada")&gt;0,AND(Resumen!$B$15="La cursada aprobada",COUNTIFS($F$2:$F$51,N44,$Q$2:$Q$51,"Cursada aprobada")&gt;0)),OR(O44="",COUNTIF($F$2:$F$51,O44)=0,COUNTIFS($F$2:$F$51,O44,$Q$2:$Q$51,"Aprobada")&gt;0,AND(Resumen!$B$15="La cursada aprobada",COUNTIFS($F$2:$F$51,O44,$Q$2:$Q$51,"Cursada aprobada")&gt;0)),OR(P44="",COUNTIF($F$2:$F$51,P44)=0,COUNTIFS($F$2:$F$51,P44,$Q$2:$Q$51,"Aprobada")&gt;0,AND(Resumen!$B$15="La cursada aprobada",COUNTIFS($F$2:$F$51,P44,$Q$2:$Q$51,"Cursada aprobada")&gt;0))),"Sí","No")))</f>
        <v>No</v>
      </c>
      <c r="S44" s="8" t="str">
        <f aca="false">TRIM(IF(NOT(OR(L44="",COUNTIF($F$2:$F$51,L44)=0,COUNTIFS($F$2:$F$51,L44,$Q$2:$Q$51,"Aprobada")&gt;0,AND(Resumen!$B$15="La cursada aprobada",COUNTIFS($F$2:$F$51,L44,$Q$2:$Q$51,"Cursada aprobada")&gt;0))),L44&amp;" ","")&amp;IF(NOT(OR(M44="",COUNTIF($F$2:$F$51,M44)=0,COUNTIFS($F$2:$F$51,M44,$Q$2:$Q$51,"Aprobada")&gt;0,AND(Resumen!$B$15="La cursada aprobada",COUNTIFS($F$2:$F$51,M44,$Q$2:$Q$51,"Cursada aprobada")&gt;0))),M44&amp;" ","")&amp;IF(NOT(OR(N44="",COUNTIF($F$2:$F$51,N44)=0,COUNTIFS($F$2:$F$51,N44,$Q$2:$Q$51,"Aprobada")&gt;0,AND(Resumen!$B$15="La cursada aprobada",COUNTIFS($F$2:$F$51,N44,$Q$2:$Q$51,"Cursada aprobada")&gt;0))),N44&amp;" ","")&amp;IF(NOT(OR(O44="",COUNTIF($F$2:$F$51,O44)=0,COUNTIFS($F$2:$F$51,O44,$Q$2:$Q$51,"Aprobada")&gt;0,AND(Resumen!$B$15="La cursada aprobada",COUNTIFS($F$2:$F$51,O44,$Q$2:$Q$51,"Cursada aprobada")&gt;0))),O44&amp;" ","")&amp;IF(NOT(OR(P44="",COUNTIF($F$2:$F$51,P44)=0,COUNTIFS($F$2:$F$51,P44,$Q$2:$Q$51,"Aprobada")&gt;0,AND(Resumen!$B$15="La cursada aprobada",COUNTIFS($F$2:$F$51,P44,$Q$2:$Q$51,"Cursada aprobada")&gt;0))),P44&amp;" ",""))</f>
        <v>208 314</v>
      </c>
      <c r="T44" s="9" t="str">
        <f aca="false">IF(Q44="Cursada aprobada",IF(AND(OR(L44="",COUNTIF($F$2:$F$51,L44)=0,COUNTIFS($F$2:$F$51,L44,$Q$2:$Q$51,"Aprobada")&gt;0),OR(M44="",COUNTIF($F$2:$F$51,M44)=0,COUNTIFS($F$2:$F$51,M44,$Q$2:$Q$51,"Aprobada")&gt;0),OR(N44="",COUNTIF($F$2:$F$51,N44)=0,COUNTIFS($F$2:$F$51,N44,$Q$2:$Q$51,"Aprobada")&gt;0),OR(O44="",COUNTIF($F$2:$F$51,O44)=0,COUNTIFS($F$2:$F$51,O44,$Q$2:$Q$51,"Aprobada")&gt;0),OR(P44="",COUNTIF($F$2:$F$51,P44)=0,COUNTIFS($F$2:$F$51,P44,$Q$2:$Q$51,"Aprobada")&gt;0)),"Sí","No"),"")</f>
        <v/>
      </c>
      <c r="U44" s="9" t="str">
        <f aca="false">IF(Q44="Aprobada",TRIM(IF(NOT(OR(L44="",COUNTIF($F$2:$F$51,L44)=0,COUNTIFS($F$2:$F$51,L44,$Q$2:$Q$51,"Aprobada")&gt;0)),L44&amp;" ","")&amp;IF(NOT(OR(M44="",COUNTIF($F$2:$F$51,M44)=0,COUNTIFS($F$2:$F$51,M44,$Q$2:$Q$51,"Aprobada")&gt;0)),M44&amp;" ","")&amp;IF(NOT(OR(N44="",COUNTIF($F$2:$F$51,N44)=0,COUNTIFS($F$2:$F$51,N44,$Q$2:$Q$51,"Aprobada")&gt;0)),N44&amp;" ","")&amp;IF(NOT(OR(O44="",COUNTIF($F$2:$F$51,O44)=0,COUNTIFS($F$2:$F$51,O44,$Q$2:$Q$51,"Aprobada")&gt;0)),O44&amp;" ","")&amp;IF(NOT(OR(P44="",COUNTIF($F$2:$F$51,P44)=0,COUNTIFS($F$2:$F$51,P44,$Q$2:$Q$51,"Aprobada")&gt;0)),P44&amp;" ","")),IF(Q44="Cursada aprobada",TRIM(IF(NOT(OR(L44="",COUNTIF($F$2:$F$51,L44)=0,COUNTIFS($F$2:$F$51,L44,$Q$2:$Q$51,"Aprobada")&gt;0,AND(Resumen!$B$15="La cursada aprobada",COUNTIFS($F$2:$F$51,L44,$Q$2:$Q$51,"Cursada aprobada")&gt;0))),L44&amp;" ","")&amp;IF(NOT(OR(M44="",COUNTIF($F$2:$F$51,M44)=0,COUNTIFS($F$2:$F$51,M44,$Q$2:$Q$51,"Aprobada")&gt;0,AND(Resumen!$B$15="La cursada aprobada",COUNTIFS($F$2:$F$51,M44,$Q$2:$Q$51,"Cursada aprobada")&gt;0))),M44&amp;" ","")&amp;IF(NOT(OR(N44="",COUNTIF($F$2:$F$51,N44)=0,COUNTIFS($F$2:$F$51,N44,$Q$2:$Q$51,"Aprobada")&gt;0,AND(Resumen!$B$15="La cursada aprobada",COUNTIFS($F$2:$F$51,N44,$Q$2:$Q$51,"Cursada aprobada")&gt;0))),N44&amp;" ","")&amp;IF(NOT(OR(O44="",COUNTIF($F$2:$F$51,O44)=0,COUNTIFS($F$2:$F$51,O44,$Q$2:$Q$51,"Aprobada")&gt;0,AND(Resumen!$B$15="La cursada aprobada",COUNTIFS($F$2:$F$51,O44,$Q$2:$Q$51,"Cursada aprobada")&gt;0))),O44&amp;" ","")&amp;IF(NOT(OR(P44="",COUNTIF($F$2:$F$51,P44)=0,COUNTIFS($F$2:$F$51,P44,$Q$2:$Q$51,"Aprobada")&gt;0,AND(Resumen!$B$15="La cursada aprobada",COUNTIFS($F$2:$F$51,P44,$Q$2:$Q$51,"Cursada aprobada")&gt;0))),P44&amp;" ","")),""))</f>
        <v/>
      </c>
    </row>
    <row r="45" customFormat="false" ht="15" hidden="false" customHeight="false" outlineLevel="0" collapsed="false">
      <c r="A45" s="8" t="s">
        <v>214</v>
      </c>
      <c r="B45" s="8" t="s">
        <v>224</v>
      </c>
      <c r="C45" s="9" t="s">
        <v>216</v>
      </c>
      <c r="D45" s="9" t="n">
        <v>2</v>
      </c>
      <c r="E45" s="9" t="s">
        <v>63</v>
      </c>
      <c r="F45" s="9" t="n">
        <v>1041</v>
      </c>
      <c r="G45" s="8" t="s">
        <v>111</v>
      </c>
      <c r="H45" s="9" t="s">
        <v>61</v>
      </c>
      <c r="I45" s="9" t="n">
        <v>4</v>
      </c>
      <c r="J45" s="9"/>
      <c r="K45" s="9" t="n">
        <v>64</v>
      </c>
      <c r="L45" s="9" t="n">
        <v>308</v>
      </c>
      <c r="M45" s="9" t="n">
        <v>103</v>
      </c>
      <c r="N45" s="9"/>
      <c r="O45" s="9"/>
      <c r="P45" s="9"/>
      <c r="Q45" s="10" t="s">
        <v>62</v>
      </c>
      <c r="R45" s="9" t="str">
        <f aca="false">IF(Q45="Aprobada","Ya aprobada",IF(Q45="Cursada aprobada","Ya cursada",IF(AND(OR(L45="",COUNTIF($F$2:$F$51,L45)=0,COUNTIFS($F$2:$F$51,L45,$Q$2:$Q$51,"Aprobada")&gt;0,AND(Resumen!$B$15="La cursada aprobada",COUNTIFS($F$2:$F$51,L45,$Q$2:$Q$51,"Cursada aprobada")&gt;0)),OR(M45="",COUNTIF($F$2:$F$51,M45)=0,COUNTIFS($F$2:$F$51,M45,$Q$2:$Q$51,"Aprobada")&gt;0,AND(Resumen!$B$15="La cursada aprobada",COUNTIFS($F$2:$F$51,M45,$Q$2:$Q$51,"Cursada aprobada")&gt;0)),OR(N45="",COUNTIF($F$2:$F$51,N45)=0,COUNTIFS($F$2:$F$51,N45,$Q$2:$Q$51,"Aprobada")&gt;0,AND(Resumen!$B$15="La cursada aprobada",COUNTIFS($F$2:$F$51,N45,$Q$2:$Q$51,"Cursada aprobada")&gt;0)),OR(O45="",COUNTIF($F$2:$F$51,O45)=0,COUNTIFS($F$2:$F$51,O45,$Q$2:$Q$51,"Aprobada")&gt;0,AND(Resumen!$B$15="La cursada aprobada",COUNTIFS($F$2:$F$51,O45,$Q$2:$Q$51,"Cursada aprobada")&gt;0)),OR(P45="",COUNTIF($F$2:$F$51,P45)=0,COUNTIFS($F$2:$F$51,P45,$Q$2:$Q$51,"Aprobada")&gt;0,AND(Resumen!$B$15="La cursada aprobada",COUNTIFS($F$2:$F$51,P45,$Q$2:$Q$51,"Cursada aprobada")&gt;0))),"Sí","No")))</f>
        <v>No</v>
      </c>
      <c r="S45" s="8" t="str">
        <f aca="false">TRIM(IF(NOT(OR(L45="",COUNTIF($F$2:$F$51,L45)=0,COUNTIFS($F$2:$F$51,L45,$Q$2:$Q$51,"Aprobada")&gt;0,AND(Resumen!$B$15="La cursada aprobada",COUNTIFS($F$2:$F$51,L45,$Q$2:$Q$51,"Cursada aprobada")&gt;0))),L45&amp;" ","")&amp;IF(NOT(OR(M45="",COUNTIF($F$2:$F$51,M45)=0,COUNTIFS($F$2:$F$51,M45,$Q$2:$Q$51,"Aprobada")&gt;0,AND(Resumen!$B$15="La cursada aprobada",COUNTIFS($F$2:$F$51,M45,$Q$2:$Q$51,"Cursada aprobada")&gt;0))),M45&amp;" ","")&amp;IF(NOT(OR(N45="",COUNTIF($F$2:$F$51,N45)=0,COUNTIFS($F$2:$F$51,N45,$Q$2:$Q$51,"Aprobada")&gt;0,AND(Resumen!$B$15="La cursada aprobada",COUNTIFS($F$2:$F$51,N45,$Q$2:$Q$51,"Cursada aprobada")&gt;0))),N45&amp;" ","")&amp;IF(NOT(OR(O45="",COUNTIF($F$2:$F$51,O45)=0,COUNTIFS($F$2:$F$51,O45,$Q$2:$Q$51,"Aprobada")&gt;0,AND(Resumen!$B$15="La cursada aprobada",COUNTIFS($F$2:$F$51,O45,$Q$2:$Q$51,"Cursada aprobada")&gt;0))),O45&amp;" ","")&amp;IF(NOT(OR(P45="",COUNTIF($F$2:$F$51,P45)=0,COUNTIFS($F$2:$F$51,P45,$Q$2:$Q$51,"Aprobada")&gt;0,AND(Resumen!$B$15="La cursada aprobada",COUNTIFS($F$2:$F$51,P45,$Q$2:$Q$51,"Cursada aprobada")&gt;0))),P45&amp;" ",""))</f>
        <v>308 103</v>
      </c>
      <c r="T45" s="9" t="str">
        <f aca="false">IF(Q45="Cursada aprobada",IF(AND(OR(L45="",COUNTIF($F$2:$F$51,L45)=0,COUNTIFS($F$2:$F$51,L45,$Q$2:$Q$51,"Aprobada")&gt;0),OR(M45="",COUNTIF($F$2:$F$51,M45)=0,COUNTIFS($F$2:$F$51,M45,$Q$2:$Q$51,"Aprobada")&gt;0),OR(N45="",COUNTIF($F$2:$F$51,N45)=0,COUNTIFS($F$2:$F$51,N45,$Q$2:$Q$51,"Aprobada")&gt;0),OR(O45="",COUNTIF($F$2:$F$51,O45)=0,COUNTIFS($F$2:$F$51,O45,$Q$2:$Q$51,"Aprobada")&gt;0),OR(P45="",COUNTIF($F$2:$F$51,P45)=0,COUNTIFS($F$2:$F$51,P45,$Q$2:$Q$51,"Aprobada")&gt;0)),"Sí","No"),"")</f>
        <v/>
      </c>
      <c r="U45" s="9" t="str">
        <f aca="false">IF(Q45="Aprobada",TRIM(IF(NOT(OR(L45="",COUNTIF($F$2:$F$51,L45)=0,COUNTIFS($F$2:$F$51,L45,$Q$2:$Q$51,"Aprobada")&gt;0)),L45&amp;" ","")&amp;IF(NOT(OR(M45="",COUNTIF($F$2:$F$51,M45)=0,COUNTIFS($F$2:$F$51,M45,$Q$2:$Q$51,"Aprobada")&gt;0)),M45&amp;" ","")&amp;IF(NOT(OR(N45="",COUNTIF($F$2:$F$51,N45)=0,COUNTIFS($F$2:$F$51,N45,$Q$2:$Q$51,"Aprobada")&gt;0)),N45&amp;" ","")&amp;IF(NOT(OR(O45="",COUNTIF($F$2:$F$51,O45)=0,COUNTIFS($F$2:$F$51,O45,$Q$2:$Q$51,"Aprobada")&gt;0)),O45&amp;" ","")&amp;IF(NOT(OR(P45="",COUNTIF($F$2:$F$51,P45)=0,COUNTIFS($F$2:$F$51,P45,$Q$2:$Q$51,"Aprobada")&gt;0)),P45&amp;" ","")),IF(Q45="Cursada aprobada",TRIM(IF(NOT(OR(L45="",COUNTIF($F$2:$F$51,L45)=0,COUNTIFS($F$2:$F$51,L45,$Q$2:$Q$51,"Aprobada")&gt;0,AND(Resumen!$B$15="La cursada aprobada",COUNTIFS($F$2:$F$51,L45,$Q$2:$Q$51,"Cursada aprobada")&gt;0))),L45&amp;" ","")&amp;IF(NOT(OR(M45="",COUNTIF($F$2:$F$51,M45)=0,COUNTIFS($F$2:$F$51,M45,$Q$2:$Q$51,"Aprobada")&gt;0,AND(Resumen!$B$15="La cursada aprobada",COUNTIFS($F$2:$F$51,M45,$Q$2:$Q$51,"Cursada aprobada")&gt;0))),M45&amp;" ","")&amp;IF(NOT(OR(N45="",COUNTIF($F$2:$F$51,N45)=0,COUNTIFS($F$2:$F$51,N45,$Q$2:$Q$51,"Aprobada")&gt;0,AND(Resumen!$B$15="La cursada aprobada",COUNTIFS($F$2:$F$51,N45,$Q$2:$Q$51,"Cursada aprobada")&gt;0))),N45&amp;" ","")&amp;IF(NOT(OR(O45="",COUNTIF($F$2:$F$51,O45)=0,COUNTIFS($F$2:$F$51,O45,$Q$2:$Q$51,"Aprobada")&gt;0,AND(Resumen!$B$15="La cursada aprobada",COUNTIFS($F$2:$F$51,O45,$Q$2:$Q$51,"Cursada aprobada")&gt;0))),O45&amp;" ","")&amp;IF(NOT(OR(P45="",COUNTIF($F$2:$F$51,P45)=0,COUNTIFS($F$2:$F$51,P45,$Q$2:$Q$51,"Aprobada")&gt;0,AND(Resumen!$B$15="La cursada aprobada",COUNTIFS($F$2:$F$51,P45,$Q$2:$Q$51,"Cursada aprobada")&gt;0))),P45&amp;" ","")),""))</f>
        <v/>
      </c>
    </row>
    <row r="46" customFormat="false" ht="15" hidden="false" customHeight="false" outlineLevel="0" collapsed="false">
      <c r="A46" s="8" t="s">
        <v>214</v>
      </c>
      <c r="B46" s="8" t="s">
        <v>224</v>
      </c>
      <c r="C46" s="9" t="s">
        <v>216</v>
      </c>
      <c r="D46" s="9" t="n">
        <v>2</v>
      </c>
      <c r="E46" s="9" t="s">
        <v>59</v>
      </c>
      <c r="F46" s="9" t="n">
        <v>1042</v>
      </c>
      <c r="G46" s="8" t="s">
        <v>233</v>
      </c>
      <c r="H46" s="9" t="s">
        <v>92</v>
      </c>
      <c r="I46" s="9" t="n">
        <v>2</v>
      </c>
      <c r="J46" s="9"/>
      <c r="K46" s="9" t="n">
        <v>32</v>
      </c>
      <c r="L46" s="9" t="n">
        <v>208</v>
      </c>
      <c r="M46" s="9" t="n">
        <v>314</v>
      </c>
      <c r="N46" s="9" t="n">
        <v>356</v>
      </c>
      <c r="O46" s="9"/>
      <c r="P46" s="9"/>
      <c r="Q46" s="10" t="s">
        <v>62</v>
      </c>
      <c r="R46" s="9" t="str">
        <f aca="false">IF(Q46="Aprobada","Ya aprobada",IF(Q46="Cursada aprobada","Ya cursada",IF(AND(OR(L46="",COUNTIF($F$2:$F$51,L46)=0,COUNTIFS($F$2:$F$51,L46,$Q$2:$Q$51,"Aprobada")&gt;0,AND(Resumen!$B$15="La cursada aprobada",COUNTIFS($F$2:$F$51,L46,$Q$2:$Q$51,"Cursada aprobada")&gt;0)),OR(M46="",COUNTIF($F$2:$F$51,M46)=0,COUNTIFS($F$2:$F$51,M46,$Q$2:$Q$51,"Aprobada")&gt;0,AND(Resumen!$B$15="La cursada aprobada",COUNTIFS($F$2:$F$51,M46,$Q$2:$Q$51,"Cursada aprobada")&gt;0)),OR(N46="",COUNTIF($F$2:$F$51,N46)=0,COUNTIFS($F$2:$F$51,N46,$Q$2:$Q$51,"Aprobada")&gt;0,AND(Resumen!$B$15="La cursada aprobada",COUNTIFS($F$2:$F$51,N46,$Q$2:$Q$51,"Cursada aprobada")&gt;0)),OR(O46="",COUNTIF($F$2:$F$51,O46)=0,COUNTIFS($F$2:$F$51,O46,$Q$2:$Q$51,"Aprobada")&gt;0,AND(Resumen!$B$15="La cursada aprobada",COUNTIFS($F$2:$F$51,O46,$Q$2:$Q$51,"Cursada aprobada")&gt;0)),OR(P46="",COUNTIF($F$2:$F$51,P46)=0,COUNTIFS($F$2:$F$51,P46,$Q$2:$Q$51,"Aprobada")&gt;0,AND(Resumen!$B$15="La cursada aprobada",COUNTIFS($F$2:$F$51,P46,$Q$2:$Q$51,"Cursada aprobada")&gt;0))),"Sí","No")))</f>
        <v>No</v>
      </c>
      <c r="S46" s="8" t="str">
        <f aca="false">TRIM(IF(NOT(OR(L46="",COUNTIF($F$2:$F$51,L46)=0,COUNTIFS($F$2:$F$51,L46,$Q$2:$Q$51,"Aprobada")&gt;0,AND(Resumen!$B$15="La cursada aprobada",COUNTIFS($F$2:$F$51,L46,$Q$2:$Q$51,"Cursada aprobada")&gt;0))),L46&amp;" ","")&amp;IF(NOT(OR(M46="",COUNTIF($F$2:$F$51,M46)=0,COUNTIFS($F$2:$F$51,M46,$Q$2:$Q$51,"Aprobada")&gt;0,AND(Resumen!$B$15="La cursada aprobada",COUNTIFS($F$2:$F$51,M46,$Q$2:$Q$51,"Cursada aprobada")&gt;0))),M46&amp;" ","")&amp;IF(NOT(OR(N46="",COUNTIF($F$2:$F$51,N46)=0,COUNTIFS($F$2:$F$51,N46,$Q$2:$Q$51,"Aprobada")&gt;0,AND(Resumen!$B$15="La cursada aprobada",COUNTIFS($F$2:$F$51,N46,$Q$2:$Q$51,"Cursada aprobada")&gt;0))),N46&amp;" ","")&amp;IF(NOT(OR(O46="",COUNTIF($F$2:$F$51,O46)=0,COUNTIFS($F$2:$F$51,O46,$Q$2:$Q$51,"Aprobada")&gt;0,AND(Resumen!$B$15="La cursada aprobada",COUNTIFS($F$2:$F$51,O46,$Q$2:$Q$51,"Cursada aprobada")&gt;0))),O46&amp;" ","")&amp;IF(NOT(OR(P46="",COUNTIF($F$2:$F$51,P46)=0,COUNTIFS($F$2:$F$51,P46,$Q$2:$Q$51,"Aprobada")&gt;0,AND(Resumen!$B$15="La cursada aprobada",COUNTIFS($F$2:$F$51,P46,$Q$2:$Q$51,"Cursada aprobada")&gt;0))),P46&amp;" ",""))</f>
        <v>208 314 356</v>
      </c>
      <c r="T46" s="9" t="str">
        <f aca="false">IF(Q46="Cursada aprobada",IF(AND(OR(L46="",COUNTIF($F$2:$F$51,L46)=0,COUNTIFS($F$2:$F$51,L46,$Q$2:$Q$51,"Aprobada")&gt;0),OR(M46="",COUNTIF($F$2:$F$51,M46)=0,COUNTIFS($F$2:$F$51,M46,$Q$2:$Q$51,"Aprobada")&gt;0),OR(N46="",COUNTIF($F$2:$F$51,N46)=0,COUNTIFS($F$2:$F$51,N46,$Q$2:$Q$51,"Aprobada")&gt;0),OR(O46="",COUNTIF($F$2:$F$51,O46)=0,COUNTIFS($F$2:$F$51,O46,$Q$2:$Q$51,"Aprobada")&gt;0),OR(P46="",COUNTIF($F$2:$F$51,P46)=0,COUNTIFS($F$2:$F$51,P46,$Q$2:$Q$51,"Aprobada")&gt;0)),"Sí","No"),"")</f>
        <v/>
      </c>
      <c r="U46" s="9" t="str">
        <f aca="false">IF(Q46="Aprobada",TRIM(IF(NOT(OR(L46="",COUNTIF($F$2:$F$51,L46)=0,COUNTIFS($F$2:$F$51,L46,$Q$2:$Q$51,"Aprobada")&gt;0)),L46&amp;" ","")&amp;IF(NOT(OR(M46="",COUNTIF($F$2:$F$51,M46)=0,COUNTIFS($F$2:$F$51,M46,$Q$2:$Q$51,"Aprobada")&gt;0)),M46&amp;" ","")&amp;IF(NOT(OR(N46="",COUNTIF($F$2:$F$51,N46)=0,COUNTIFS($F$2:$F$51,N46,$Q$2:$Q$51,"Aprobada")&gt;0)),N46&amp;" ","")&amp;IF(NOT(OR(O46="",COUNTIF($F$2:$F$51,O46)=0,COUNTIFS($F$2:$F$51,O46,$Q$2:$Q$51,"Aprobada")&gt;0)),O46&amp;" ","")&amp;IF(NOT(OR(P46="",COUNTIF($F$2:$F$51,P46)=0,COUNTIFS($F$2:$F$51,P46,$Q$2:$Q$51,"Aprobada")&gt;0)),P46&amp;" ","")),IF(Q46="Cursada aprobada",TRIM(IF(NOT(OR(L46="",COUNTIF($F$2:$F$51,L46)=0,COUNTIFS($F$2:$F$51,L46,$Q$2:$Q$51,"Aprobada")&gt;0,AND(Resumen!$B$15="La cursada aprobada",COUNTIFS($F$2:$F$51,L46,$Q$2:$Q$51,"Cursada aprobada")&gt;0))),L46&amp;" ","")&amp;IF(NOT(OR(M46="",COUNTIF($F$2:$F$51,M46)=0,COUNTIFS($F$2:$F$51,M46,$Q$2:$Q$51,"Aprobada")&gt;0,AND(Resumen!$B$15="La cursada aprobada",COUNTIFS($F$2:$F$51,M46,$Q$2:$Q$51,"Cursada aprobada")&gt;0))),M46&amp;" ","")&amp;IF(NOT(OR(N46="",COUNTIF($F$2:$F$51,N46)=0,COUNTIFS($F$2:$F$51,N46,$Q$2:$Q$51,"Aprobada")&gt;0,AND(Resumen!$B$15="La cursada aprobada",COUNTIFS($F$2:$F$51,N46,$Q$2:$Q$51,"Cursada aprobada")&gt;0))),N46&amp;" ","")&amp;IF(NOT(OR(O46="",COUNTIF($F$2:$F$51,O46)=0,COUNTIFS($F$2:$F$51,O46,$Q$2:$Q$51,"Aprobada")&gt;0,AND(Resumen!$B$15="La cursada aprobada",COUNTIFS($F$2:$F$51,O46,$Q$2:$Q$51,"Cursada aprobada")&gt;0))),O46&amp;" ","")&amp;IF(NOT(OR(P46="",COUNTIF($F$2:$F$51,P46)=0,COUNTIFS($F$2:$F$51,P46,$Q$2:$Q$51,"Aprobada")&gt;0,AND(Resumen!$B$15="La cursada aprobada",COUNTIFS($F$2:$F$51,P46,$Q$2:$Q$51,"Cursada aprobada")&gt;0))),P46&amp;" ","")),""))</f>
        <v/>
      </c>
    </row>
    <row r="47" customFormat="false" ht="15" hidden="false" customHeight="false" outlineLevel="0" collapsed="false">
      <c r="A47" s="8" t="s">
        <v>116</v>
      </c>
      <c r="B47" s="8"/>
      <c r="C47" s="9"/>
      <c r="D47" s="9" t="n">
        <v>1</v>
      </c>
      <c r="E47" s="9" t="s">
        <v>99</v>
      </c>
      <c r="F47" s="9" t="n">
        <v>598</v>
      </c>
      <c r="G47" s="8" t="s">
        <v>117</v>
      </c>
      <c r="H47" s="9"/>
      <c r="I47" s="9" t="n">
        <v>4</v>
      </c>
      <c r="J47" s="9"/>
      <c r="K47" s="9" t="n">
        <v>64</v>
      </c>
      <c r="L47" s="9"/>
      <c r="M47" s="9"/>
      <c r="N47" s="9"/>
      <c r="O47" s="9"/>
      <c r="P47" s="9"/>
      <c r="Q47" s="10" t="s">
        <v>62</v>
      </c>
      <c r="R47" s="9" t="str">
        <f aca="false">IF(Q47="Aprobada","Ya aprobada",IF(Q47="Cursada aprobada","Ya cursada",IF(AND(OR(L47="",COUNTIF($F$2:$F$51,L47)=0,COUNTIFS($F$2:$F$51,L47,$Q$2:$Q$51,"Aprobada")&gt;0,AND(Resumen!$B$15="La cursada aprobada",COUNTIFS($F$2:$F$51,L47,$Q$2:$Q$51,"Cursada aprobada")&gt;0)),OR(M47="",COUNTIF($F$2:$F$51,M47)=0,COUNTIFS($F$2:$F$51,M47,$Q$2:$Q$51,"Aprobada")&gt;0,AND(Resumen!$B$15="La cursada aprobada",COUNTIFS($F$2:$F$51,M47,$Q$2:$Q$51,"Cursada aprobada")&gt;0)),OR(N47="",COUNTIF($F$2:$F$51,N47)=0,COUNTIFS($F$2:$F$51,N47,$Q$2:$Q$51,"Aprobada")&gt;0,AND(Resumen!$B$15="La cursada aprobada",COUNTIFS($F$2:$F$51,N47,$Q$2:$Q$51,"Cursada aprobada")&gt;0)),OR(O47="",COUNTIF($F$2:$F$51,O47)=0,COUNTIFS($F$2:$F$51,O47,$Q$2:$Q$51,"Aprobada")&gt;0,AND(Resumen!$B$15="La cursada aprobada",COUNTIFS($F$2:$F$51,O47,$Q$2:$Q$51,"Cursada aprobada")&gt;0)),OR(P47="",COUNTIF($F$2:$F$51,P47)=0,COUNTIFS($F$2:$F$51,P47,$Q$2:$Q$51,"Aprobada")&gt;0,AND(Resumen!$B$15="La cursada aprobada",COUNTIFS($F$2:$F$51,P47,$Q$2:$Q$51,"Cursada aprobada")&gt;0))),"Sí","No")))</f>
        <v>Sí</v>
      </c>
      <c r="S47" s="8" t="str">
        <f aca="false">TRIM(IF(NOT(OR(L47="",COUNTIF($F$2:$F$51,L47)=0,COUNTIFS($F$2:$F$51,L47,$Q$2:$Q$51,"Aprobada")&gt;0,AND(Resumen!$B$15="La cursada aprobada",COUNTIFS($F$2:$F$51,L47,$Q$2:$Q$51,"Cursada aprobada")&gt;0))),L47&amp;" ","")&amp;IF(NOT(OR(M47="",COUNTIF($F$2:$F$51,M47)=0,COUNTIFS($F$2:$F$51,M47,$Q$2:$Q$51,"Aprobada")&gt;0,AND(Resumen!$B$15="La cursada aprobada",COUNTIFS($F$2:$F$51,M47,$Q$2:$Q$51,"Cursada aprobada")&gt;0))),M47&amp;" ","")&amp;IF(NOT(OR(N47="",COUNTIF($F$2:$F$51,N47)=0,COUNTIFS($F$2:$F$51,N47,$Q$2:$Q$51,"Aprobada")&gt;0,AND(Resumen!$B$15="La cursada aprobada",COUNTIFS($F$2:$F$51,N47,$Q$2:$Q$51,"Cursada aprobada")&gt;0))),N47&amp;" ","")&amp;IF(NOT(OR(O47="",COUNTIF($F$2:$F$51,O47)=0,COUNTIFS($F$2:$F$51,O47,$Q$2:$Q$51,"Aprobada")&gt;0,AND(Resumen!$B$15="La cursada aprobada",COUNTIFS($F$2:$F$51,O47,$Q$2:$Q$51,"Cursada aprobada")&gt;0))),O47&amp;" ","")&amp;IF(NOT(OR(P47="",COUNTIF($F$2:$F$51,P47)=0,COUNTIFS($F$2:$F$51,P47,$Q$2:$Q$51,"Aprobada")&gt;0,AND(Resumen!$B$15="La cursada aprobada",COUNTIFS($F$2:$F$51,P47,$Q$2:$Q$51,"Cursada aprobada")&gt;0))),P47&amp;" ",""))</f>
        <v/>
      </c>
      <c r="T47" s="9" t="str">
        <f aca="false">IF(Q47="Cursada aprobada",IF(AND(OR(L47="",COUNTIF($F$2:$F$51,L47)=0,COUNTIFS($F$2:$F$51,L47,$Q$2:$Q$51,"Aprobada")&gt;0),OR(M47="",COUNTIF($F$2:$F$51,M47)=0,COUNTIFS($F$2:$F$51,M47,$Q$2:$Q$51,"Aprobada")&gt;0),OR(N47="",COUNTIF($F$2:$F$51,N47)=0,COUNTIFS($F$2:$F$51,N47,$Q$2:$Q$51,"Aprobada")&gt;0),OR(O47="",COUNTIF($F$2:$F$51,O47)=0,COUNTIFS($F$2:$F$51,O47,$Q$2:$Q$51,"Aprobada")&gt;0),OR(P47="",COUNTIF($F$2:$F$51,P47)=0,COUNTIFS($F$2:$F$51,P47,$Q$2:$Q$51,"Aprobada")&gt;0)),"Sí","No"),"")</f>
        <v/>
      </c>
      <c r="U47" s="9" t="str">
        <f aca="false">IF(Q47="Aprobada",TRIM(IF(NOT(OR(L47="",COUNTIF($F$2:$F$51,L47)=0,COUNTIFS($F$2:$F$51,L47,$Q$2:$Q$51,"Aprobada")&gt;0)),L47&amp;" ","")&amp;IF(NOT(OR(M47="",COUNTIF($F$2:$F$51,M47)=0,COUNTIFS($F$2:$F$51,M47,$Q$2:$Q$51,"Aprobada")&gt;0)),M47&amp;" ","")&amp;IF(NOT(OR(N47="",COUNTIF($F$2:$F$51,N47)=0,COUNTIFS($F$2:$F$51,N47,$Q$2:$Q$51,"Aprobada")&gt;0)),N47&amp;" ","")&amp;IF(NOT(OR(O47="",COUNTIF($F$2:$F$51,O47)=0,COUNTIFS($F$2:$F$51,O47,$Q$2:$Q$51,"Aprobada")&gt;0)),O47&amp;" ","")&amp;IF(NOT(OR(P47="",COUNTIF($F$2:$F$51,P47)=0,COUNTIFS($F$2:$F$51,P47,$Q$2:$Q$51,"Aprobada")&gt;0)),P47&amp;" ","")),IF(Q47="Cursada aprobada",TRIM(IF(NOT(OR(L47="",COUNTIF($F$2:$F$51,L47)=0,COUNTIFS($F$2:$F$51,L47,$Q$2:$Q$51,"Aprobada")&gt;0,AND(Resumen!$B$15="La cursada aprobada",COUNTIFS($F$2:$F$51,L47,$Q$2:$Q$51,"Cursada aprobada")&gt;0))),L47&amp;" ","")&amp;IF(NOT(OR(M47="",COUNTIF($F$2:$F$51,M47)=0,COUNTIFS($F$2:$F$51,M47,$Q$2:$Q$51,"Aprobada")&gt;0,AND(Resumen!$B$15="La cursada aprobada",COUNTIFS($F$2:$F$51,M47,$Q$2:$Q$51,"Cursada aprobada")&gt;0))),M47&amp;" ","")&amp;IF(NOT(OR(N47="",COUNTIF($F$2:$F$51,N47)=0,COUNTIFS($F$2:$F$51,N47,$Q$2:$Q$51,"Aprobada")&gt;0,AND(Resumen!$B$15="La cursada aprobada",COUNTIFS($F$2:$F$51,N47,$Q$2:$Q$51,"Cursada aprobada")&gt;0))),N47&amp;" ","")&amp;IF(NOT(OR(O47="",COUNTIF($F$2:$F$51,O47)=0,COUNTIFS($F$2:$F$51,O47,$Q$2:$Q$51,"Aprobada")&gt;0,AND(Resumen!$B$15="La cursada aprobada",COUNTIFS($F$2:$F$51,O47,$Q$2:$Q$51,"Cursada aprobada")&gt;0))),O47&amp;" ","")&amp;IF(NOT(OR(P47="",COUNTIF($F$2:$F$51,P47)=0,COUNTIFS($F$2:$F$51,P47,$Q$2:$Q$51,"Aprobada")&gt;0,AND(Resumen!$B$15="La cursada aprobada",COUNTIFS($F$2:$F$51,P47,$Q$2:$Q$51,"Cursada aprobada")&gt;0))),P47&amp;" ","")),""))</f>
        <v/>
      </c>
    </row>
    <row r="48" customFormat="false" ht="15" hidden="false" customHeight="false" outlineLevel="0" collapsed="false">
      <c r="A48" s="8" t="s">
        <v>116</v>
      </c>
      <c r="B48" s="8"/>
      <c r="C48" s="9"/>
      <c r="D48" s="9" t="n">
        <v>1</v>
      </c>
      <c r="E48" s="9" t="s">
        <v>63</v>
      </c>
      <c r="F48" s="9" t="n">
        <v>300</v>
      </c>
      <c r="G48" s="8" t="s">
        <v>118</v>
      </c>
      <c r="H48" s="9"/>
      <c r="I48" s="9" t="n">
        <v>2</v>
      </c>
      <c r="J48" s="9"/>
      <c r="K48" s="9" t="n">
        <v>32</v>
      </c>
      <c r="L48" s="9"/>
      <c r="M48" s="9"/>
      <c r="N48" s="9"/>
      <c r="O48" s="9"/>
      <c r="P48" s="9"/>
      <c r="Q48" s="10" t="s">
        <v>62</v>
      </c>
      <c r="R48" s="9" t="str">
        <f aca="false">IF(Q48="Aprobada","Ya aprobada",IF(Q48="Cursada aprobada","Ya cursada",IF(AND(OR(L48="",COUNTIF($F$2:$F$51,L48)=0,COUNTIFS($F$2:$F$51,L48,$Q$2:$Q$51,"Aprobada")&gt;0,AND(Resumen!$B$15="La cursada aprobada",COUNTIFS($F$2:$F$51,L48,$Q$2:$Q$51,"Cursada aprobada")&gt;0)),OR(M48="",COUNTIF($F$2:$F$51,M48)=0,COUNTIFS($F$2:$F$51,M48,$Q$2:$Q$51,"Aprobada")&gt;0,AND(Resumen!$B$15="La cursada aprobada",COUNTIFS($F$2:$F$51,M48,$Q$2:$Q$51,"Cursada aprobada")&gt;0)),OR(N48="",COUNTIF($F$2:$F$51,N48)=0,COUNTIFS($F$2:$F$51,N48,$Q$2:$Q$51,"Aprobada")&gt;0,AND(Resumen!$B$15="La cursada aprobada",COUNTIFS($F$2:$F$51,N48,$Q$2:$Q$51,"Cursada aprobada")&gt;0)),OR(O48="",COUNTIF($F$2:$F$51,O48)=0,COUNTIFS($F$2:$F$51,O48,$Q$2:$Q$51,"Aprobada")&gt;0,AND(Resumen!$B$15="La cursada aprobada",COUNTIFS($F$2:$F$51,O48,$Q$2:$Q$51,"Cursada aprobada")&gt;0)),OR(P48="",COUNTIF($F$2:$F$51,P48)=0,COUNTIFS($F$2:$F$51,P48,$Q$2:$Q$51,"Aprobada")&gt;0,AND(Resumen!$B$15="La cursada aprobada",COUNTIFS($F$2:$F$51,P48,$Q$2:$Q$51,"Cursada aprobada")&gt;0))),"Sí","No")))</f>
        <v>Sí</v>
      </c>
      <c r="S48" s="8" t="str">
        <f aca="false">TRIM(IF(NOT(OR(L48="",COUNTIF($F$2:$F$51,L48)=0,COUNTIFS($F$2:$F$51,L48,$Q$2:$Q$51,"Aprobada")&gt;0,AND(Resumen!$B$15="La cursada aprobada",COUNTIFS($F$2:$F$51,L48,$Q$2:$Q$51,"Cursada aprobada")&gt;0))),L48&amp;" ","")&amp;IF(NOT(OR(M48="",COUNTIF($F$2:$F$51,M48)=0,COUNTIFS($F$2:$F$51,M48,$Q$2:$Q$51,"Aprobada")&gt;0,AND(Resumen!$B$15="La cursada aprobada",COUNTIFS($F$2:$F$51,M48,$Q$2:$Q$51,"Cursada aprobada")&gt;0))),M48&amp;" ","")&amp;IF(NOT(OR(N48="",COUNTIF($F$2:$F$51,N48)=0,COUNTIFS($F$2:$F$51,N48,$Q$2:$Q$51,"Aprobada")&gt;0,AND(Resumen!$B$15="La cursada aprobada",COUNTIFS($F$2:$F$51,N48,$Q$2:$Q$51,"Cursada aprobada")&gt;0))),N48&amp;" ","")&amp;IF(NOT(OR(O48="",COUNTIF($F$2:$F$51,O48)=0,COUNTIFS($F$2:$F$51,O48,$Q$2:$Q$51,"Aprobada")&gt;0,AND(Resumen!$B$15="La cursada aprobada",COUNTIFS($F$2:$F$51,O48,$Q$2:$Q$51,"Cursada aprobada")&gt;0))),O48&amp;" ","")&amp;IF(NOT(OR(P48="",COUNTIF($F$2:$F$51,P48)=0,COUNTIFS($F$2:$F$51,P48,$Q$2:$Q$51,"Aprobada")&gt;0,AND(Resumen!$B$15="La cursada aprobada",COUNTIFS($F$2:$F$51,P48,$Q$2:$Q$51,"Cursada aprobada")&gt;0))),P48&amp;" ",""))</f>
        <v/>
      </c>
      <c r="T48" s="9" t="str">
        <f aca="false">IF(Q48="Cursada aprobada",IF(AND(OR(L48="",COUNTIF($F$2:$F$51,L48)=0,COUNTIFS($F$2:$F$51,L48,$Q$2:$Q$51,"Aprobada")&gt;0),OR(M48="",COUNTIF($F$2:$F$51,M48)=0,COUNTIFS($F$2:$F$51,M48,$Q$2:$Q$51,"Aprobada")&gt;0),OR(N48="",COUNTIF($F$2:$F$51,N48)=0,COUNTIFS($F$2:$F$51,N48,$Q$2:$Q$51,"Aprobada")&gt;0),OR(O48="",COUNTIF($F$2:$F$51,O48)=0,COUNTIFS($F$2:$F$51,O48,$Q$2:$Q$51,"Aprobada")&gt;0),OR(P48="",COUNTIF($F$2:$F$51,P48)=0,COUNTIFS($F$2:$F$51,P48,$Q$2:$Q$51,"Aprobada")&gt;0)),"Sí","No"),"")</f>
        <v/>
      </c>
      <c r="U48" s="9" t="str">
        <f aca="false">IF(Q48="Aprobada",TRIM(IF(NOT(OR(L48="",COUNTIF($F$2:$F$51,L48)=0,COUNTIFS($F$2:$F$51,L48,$Q$2:$Q$51,"Aprobada")&gt;0)),L48&amp;" ","")&amp;IF(NOT(OR(M48="",COUNTIF($F$2:$F$51,M48)=0,COUNTIFS($F$2:$F$51,M48,$Q$2:$Q$51,"Aprobada")&gt;0)),M48&amp;" ","")&amp;IF(NOT(OR(N48="",COUNTIF($F$2:$F$51,N48)=0,COUNTIFS($F$2:$F$51,N48,$Q$2:$Q$51,"Aprobada")&gt;0)),N48&amp;" ","")&amp;IF(NOT(OR(O48="",COUNTIF($F$2:$F$51,O48)=0,COUNTIFS($F$2:$F$51,O48,$Q$2:$Q$51,"Aprobada")&gt;0)),O48&amp;" ","")&amp;IF(NOT(OR(P48="",COUNTIF($F$2:$F$51,P48)=0,COUNTIFS($F$2:$F$51,P48,$Q$2:$Q$51,"Aprobada")&gt;0)),P48&amp;" ","")),IF(Q48="Cursada aprobada",TRIM(IF(NOT(OR(L48="",COUNTIF($F$2:$F$51,L48)=0,COUNTIFS($F$2:$F$51,L48,$Q$2:$Q$51,"Aprobada")&gt;0,AND(Resumen!$B$15="La cursada aprobada",COUNTIFS($F$2:$F$51,L48,$Q$2:$Q$51,"Cursada aprobada")&gt;0))),L48&amp;" ","")&amp;IF(NOT(OR(M48="",COUNTIF($F$2:$F$51,M48)=0,COUNTIFS($F$2:$F$51,M48,$Q$2:$Q$51,"Aprobada")&gt;0,AND(Resumen!$B$15="La cursada aprobada",COUNTIFS($F$2:$F$51,M48,$Q$2:$Q$51,"Cursada aprobada")&gt;0))),M48&amp;" ","")&amp;IF(NOT(OR(N48="",COUNTIF($F$2:$F$51,N48)=0,COUNTIFS($F$2:$F$51,N48,$Q$2:$Q$51,"Aprobada")&gt;0,AND(Resumen!$B$15="La cursada aprobada",COUNTIFS($F$2:$F$51,N48,$Q$2:$Q$51,"Cursada aprobada")&gt;0))),N48&amp;" ","")&amp;IF(NOT(OR(O48="",COUNTIF($F$2:$F$51,O48)=0,COUNTIFS($F$2:$F$51,O48,$Q$2:$Q$51,"Aprobada")&gt;0,AND(Resumen!$B$15="La cursada aprobada",COUNTIFS($F$2:$F$51,O48,$Q$2:$Q$51,"Cursada aprobada")&gt;0))),O48&amp;" ","")&amp;IF(NOT(OR(P48="",COUNTIF($F$2:$F$51,P48)=0,COUNTIFS($F$2:$F$51,P48,$Q$2:$Q$51,"Aprobada")&gt;0,AND(Resumen!$B$15="La cursada aprobada",COUNTIFS($F$2:$F$51,P48,$Q$2:$Q$51,"Cursada aprobada")&gt;0))),P48&amp;" ","")),""))</f>
        <v/>
      </c>
    </row>
    <row r="49" customFormat="false" ht="15" hidden="false" customHeight="false" outlineLevel="0" collapsed="false">
      <c r="A49" s="8" t="s">
        <v>116</v>
      </c>
      <c r="B49" s="8"/>
      <c r="C49" s="9"/>
      <c r="D49" s="9" t="n">
        <v>1</v>
      </c>
      <c r="E49" s="9" t="s">
        <v>99</v>
      </c>
      <c r="F49" s="9" t="n">
        <v>1050</v>
      </c>
      <c r="G49" s="8" t="s">
        <v>234</v>
      </c>
      <c r="H49" s="9"/>
      <c r="I49" s="9" t="n">
        <v>4</v>
      </c>
      <c r="J49" s="9"/>
      <c r="K49" s="9" t="n">
        <v>64</v>
      </c>
      <c r="L49" s="9"/>
      <c r="M49" s="9"/>
      <c r="N49" s="9"/>
      <c r="O49" s="9"/>
      <c r="P49" s="9"/>
      <c r="Q49" s="10" t="s">
        <v>62</v>
      </c>
      <c r="R49" s="9" t="str">
        <f aca="false">IF(Q49="Aprobada","Ya aprobada",IF(Q49="Cursada aprobada","Ya cursada",IF(AND(OR(L49="",COUNTIF($F$2:$F$51,L49)=0,COUNTIFS($F$2:$F$51,L49,$Q$2:$Q$51,"Aprobada")&gt;0,AND(Resumen!$B$15="La cursada aprobada",COUNTIFS($F$2:$F$51,L49,$Q$2:$Q$51,"Cursada aprobada")&gt;0)),OR(M49="",COUNTIF($F$2:$F$51,M49)=0,COUNTIFS($F$2:$F$51,M49,$Q$2:$Q$51,"Aprobada")&gt;0,AND(Resumen!$B$15="La cursada aprobada",COUNTIFS($F$2:$F$51,M49,$Q$2:$Q$51,"Cursada aprobada")&gt;0)),OR(N49="",COUNTIF($F$2:$F$51,N49)=0,COUNTIFS($F$2:$F$51,N49,$Q$2:$Q$51,"Aprobada")&gt;0,AND(Resumen!$B$15="La cursada aprobada",COUNTIFS($F$2:$F$51,N49,$Q$2:$Q$51,"Cursada aprobada")&gt;0)),OR(O49="",COUNTIF($F$2:$F$51,O49)=0,COUNTIFS($F$2:$F$51,O49,$Q$2:$Q$51,"Aprobada")&gt;0,AND(Resumen!$B$15="La cursada aprobada",COUNTIFS($F$2:$F$51,O49,$Q$2:$Q$51,"Cursada aprobada")&gt;0)),OR(P49="",COUNTIF($F$2:$F$51,P49)=0,COUNTIFS($F$2:$F$51,P49,$Q$2:$Q$51,"Aprobada")&gt;0,AND(Resumen!$B$15="La cursada aprobada",COUNTIFS($F$2:$F$51,P49,$Q$2:$Q$51,"Cursada aprobada")&gt;0))),"Sí","No")))</f>
        <v>Sí</v>
      </c>
      <c r="S49" s="8" t="str">
        <f aca="false">TRIM(IF(NOT(OR(L49="",COUNTIF($F$2:$F$51,L49)=0,COUNTIFS($F$2:$F$51,L49,$Q$2:$Q$51,"Aprobada")&gt;0,AND(Resumen!$B$15="La cursada aprobada",COUNTIFS($F$2:$F$51,L49,$Q$2:$Q$51,"Cursada aprobada")&gt;0))),L49&amp;" ","")&amp;IF(NOT(OR(M49="",COUNTIF($F$2:$F$51,M49)=0,COUNTIFS($F$2:$F$51,M49,$Q$2:$Q$51,"Aprobada")&gt;0,AND(Resumen!$B$15="La cursada aprobada",COUNTIFS($F$2:$F$51,M49,$Q$2:$Q$51,"Cursada aprobada")&gt;0))),M49&amp;" ","")&amp;IF(NOT(OR(N49="",COUNTIF($F$2:$F$51,N49)=0,COUNTIFS($F$2:$F$51,N49,$Q$2:$Q$51,"Aprobada")&gt;0,AND(Resumen!$B$15="La cursada aprobada",COUNTIFS($F$2:$F$51,N49,$Q$2:$Q$51,"Cursada aprobada")&gt;0))),N49&amp;" ","")&amp;IF(NOT(OR(O49="",COUNTIF($F$2:$F$51,O49)=0,COUNTIFS($F$2:$F$51,O49,$Q$2:$Q$51,"Aprobada")&gt;0,AND(Resumen!$B$15="La cursada aprobada",COUNTIFS($F$2:$F$51,O49,$Q$2:$Q$51,"Cursada aprobada")&gt;0))),O49&amp;" ","")&amp;IF(NOT(OR(P49="",COUNTIF($F$2:$F$51,P49)=0,COUNTIFS($F$2:$F$51,P49,$Q$2:$Q$51,"Aprobada")&gt;0,AND(Resumen!$B$15="La cursada aprobada",COUNTIFS($F$2:$F$51,P49,$Q$2:$Q$51,"Cursada aprobada")&gt;0))),P49&amp;" ",""))</f>
        <v/>
      </c>
      <c r="T49" s="9" t="str">
        <f aca="false">IF(Q49="Cursada aprobada",IF(AND(OR(L49="",COUNTIF($F$2:$F$51,L49)=0,COUNTIFS($F$2:$F$51,L49,$Q$2:$Q$51,"Aprobada")&gt;0),OR(M49="",COUNTIF($F$2:$F$51,M49)=0,COUNTIFS($F$2:$F$51,M49,$Q$2:$Q$51,"Aprobada")&gt;0),OR(N49="",COUNTIF($F$2:$F$51,N49)=0,COUNTIFS($F$2:$F$51,N49,$Q$2:$Q$51,"Aprobada")&gt;0),OR(O49="",COUNTIF($F$2:$F$51,O49)=0,COUNTIFS($F$2:$F$51,O49,$Q$2:$Q$51,"Aprobada")&gt;0),OR(P49="",COUNTIF($F$2:$F$51,P49)=0,COUNTIFS($F$2:$F$51,P49,$Q$2:$Q$51,"Aprobada")&gt;0)),"Sí","No"),"")</f>
        <v/>
      </c>
      <c r="U49" s="9" t="str">
        <f aca="false">IF(Q49="Aprobada",TRIM(IF(NOT(OR(L49="",COUNTIF($F$2:$F$51,L49)=0,COUNTIFS($F$2:$F$51,L49,$Q$2:$Q$51,"Aprobada")&gt;0)),L49&amp;" ","")&amp;IF(NOT(OR(M49="",COUNTIF($F$2:$F$51,M49)=0,COUNTIFS($F$2:$F$51,M49,$Q$2:$Q$51,"Aprobada")&gt;0)),M49&amp;" ","")&amp;IF(NOT(OR(N49="",COUNTIF($F$2:$F$51,N49)=0,COUNTIFS($F$2:$F$51,N49,$Q$2:$Q$51,"Aprobada")&gt;0)),N49&amp;" ","")&amp;IF(NOT(OR(O49="",COUNTIF($F$2:$F$51,O49)=0,COUNTIFS($F$2:$F$51,O49,$Q$2:$Q$51,"Aprobada")&gt;0)),O49&amp;" ","")&amp;IF(NOT(OR(P49="",COUNTIF($F$2:$F$51,P49)=0,COUNTIFS($F$2:$F$51,P49,$Q$2:$Q$51,"Aprobada")&gt;0)),P49&amp;" ","")),IF(Q49="Cursada aprobada",TRIM(IF(NOT(OR(L49="",COUNTIF($F$2:$F$51,L49)=0,COUNTIFS($F$2:$F$51,L49,$Q$2:$Q$51,"Aprobada")&gt;0,AND(Resumen!$B$15="La cursada aprobada",COUNTIFS($F$2:$F$51,L49,$Q$2:$Q$51,"Cursada aprobada")&gt;0))),L49&amp;" ","")&amp;IF(NOT(OR(M49="",COUNTIF($F$2:$F$51,M49)=0,COUNTIFS($F$2:$F$51,M49,$Q$2:$Q$51,"Aprobada")&gt;0,AND(Resumen!$B$15="La cursada aprobada",COUNTIFS($F$2:$F$51,M49,$Q$2:$Q$51,"Cursada aprobada")&gt;0))),M49&amp;" ","")&amp;IF(NOT(OR(N49="",COUNTIF($F$2:$F$51,N49)=0,COUNTIFS($F$2:$F$51,N49,$Q$2:$Q$51,"Aprobada")&gt;0,AND(Resumen!$B$15="La cursada aprobada",COUNTIFS($F$2:$F$51,N49,$Q$2:$Q$51,"Cursada aprobada")&gt;0))),N49&amp;" ","")&amp;IF(NOT(OR(O49="",COUNTIF($F$2:$F$51,O49)=0,COUNTIFS($F$2:$F$51,O49,$Q$2:$Q$51,"Aprobada")&gt;0,AND(Resumen!$B$15="La cursada aprobada",COUNTIFS($F$2:$F$51,O49,$Q$2:$Q$51,"Cursada aprobada")&gt;0))),O49&amp;" ","")&amp;IF(NOT(OR(P49="",COUNTIF($F$2:$F$51,P49)=0,COUNTIFS($F$2:$F$51,P49,$Q$2:$Q$51,"Aprobada")&gt;0,AND(Resumen!$B$15="La cursada aprobada",COUNTIFS($F$2:$F$51,P49,$Q$2:$Q$51,"Cursada aprobada")&gt;0))),P49&amp;" ","")),""))</f>
        <v/>
      </c>
    </row>
    <row r="50" customFormat="false" ht="15" hidden="false" customHeight="false" outlineLevel="0" collapsed="false">
      <c r="A50" s="8" t="s">
        <v>116</v>
      </c>
      <c r="B50" s="8"/>
      <c r="C50" s="9"/>
      <c r="D50" s="9" t="n">
        <v>1</v>
      </c>
      <c r="E50" s="9" t="s">
        <v>99</v>
      </c>
      <c r="F50" s="9" t="n">
        <v>1051</v>
      </c>
      <c r="G50" s="8" t="s">
        <v>235</v>
      </c>
      <c r="H50" s="9"/>
      <c r="I50" s="9" t="n">
        <v>2</v>
      </c>
      <c r="J50" s="9"/>
      <c r="K50" s="9" t="n">
        <v>32</v>
      </c>
      <c r="L50" s="9" t="n">
        <v>103</v>
      </c>
      <c r="M50" s="9"/>
      <c r="N50" s="9"/>
      <c r="O50" s="9"/>
      <c r="P50" s="9"/>
      <c r="Q50" s="10" t="s">
        <v>62</v>
      </c>
      <c r="R50" s="9" t="str">
        <f aca="false">IF(Q50="Aprobada","Ya aprobada",IF(Q50="Cursada aprobada","Ya cursada",IF(AND(OR(L50="",COUNTIF($F$2:$F$51,L50)=0,COUNTIFS($F$2:$F$51,L50,$Q$2:$Q$51,"Aprobada")&gt;0,AND(Resumen!$B$15="La cursada aprobada",COUNTIFS($F$2:$F$51,L50,$Q$2:$Q$51,"Cursada aprobada")&gt;0)),OR(M50="",COUNTIF($F$2:$F$51,M50)=0,COUNTIFS($F$2:$F$51,M50,$Q$2:$Q$51,"Aprobada")&gt;0,AND(Resumen!$B$15="La cursada aprobada",COUNTIFS($F$2:$F$51,M50,$Q$2:$Q$51,"Cursada aprobada")&gt;0)),OR(N50="",COUNTIF($F$2:$F$51,N50)=0,COUNTIFS($F$2:$F$51,N50,$Q$2:$Q$51,"Aprobada")&gt;0,AND(Resumen!$B$15="La cursada aprobada",COUNTIFS($F$2:$F$51,N50,$Q$2:$Q$51,"Cursada aprobada")&gt;0)),OR(O50="",COUNTIF($F$2:$F$51,O50)=0,COUNTIFS($F$2:$F$51,O50,$Q$2:$Q$51,"Aprobada")&gt;0,AND(Resumen!$B$15="La cursada aprobada",COUNTIFS($F$2:$F$51,O50,$Q$2:$Q$51,"Cursada aprobada")&gt;0)),OR(P50="",COUNTIF($F$2:$F$51,P50)=0,COUNTIFS($F$2:$F$51,P50,$Q$2:$Q$51,"Aprobada")&gt;0,AND(Resumen!$B$15="La cursada aprobada",COUNTIFS($F$2:$F$51,P50,$Q$2:$Q$51,"Cursada aprobada")&gt;0))),"Sí","No")))</f>
        <v>No</v>
      </c>
      <c r="S50" s="8" t="str">
        <f aca="false">TRIM(IF(NOT(OR(L50="",COUNTIF($F$2:$F$51,L50)=0,COUNTIFS($F$2:$F$51,L50,$Q$2:$Q$51,"Aprobada")&gt;0,AND(Resumen!$B$15="La cursada aprobada",COUNTIFS($F$2:$F$51,L50,$Q$2:$Q$51,"Cursada aprobada")&gt;0))),L50&amp;" ","")&amp;IF(NOT(OR(M50="",COUNTIF($F$2:$F$51,M50)=0,COUNTIFS($F$2:$F$51,M50,$Q$2:$Q$51,"Aprobada")&gt;0,AND(Resumen!$B$15="La cursada aprobada",COUNTIFS($F$2:$F$51,M50,$Q$2:$Q$51,"Cursada aprobada")&gt;0))),M50&amp;" ","")&amp;IF(NOT(OR(N50="",COUNTIF($F$2:$F$51,N50)=0,COUNTIFS($F$2:$F$51,N50,$Q$2:$Q$51,"Aprobada")&gt;0,AND(Resumen!$B$15="La cursada aprobada",COUNTIFS($F$2:$F$51,N50,$Q$2:$Q$51,"Cursada aprobada")&gt;0))),N50&amp;" ","")&amp;IF(NOT(OR(O50="",COUNTIF($F$2:$F$51,O50)=0,COUNTIFS($F$2:$F$51,O50,$Q$2:$Q$51,"Aprobada")&gt;0,AND(Resumen!$B$15="La cursada aprobada",COUNTIFS($F$2:$F$51,O50,$Q$2:$Q$51,"Cursada aprobada")&gt;0))),O50&amp;" ","")&amp;IF(NOT(OR(P50="",COUNTIF($F$2:$F$51,P50)=0,COUNTIFS($F$2:$F$51,P50,$Q$2:$Q$51,"Aprobada")&gt;0,AND(Resumen!$B$15="La cursada aprobada",COUNTIFS($F$2:$F$51,P50,$Q$2:$Q$51,"Cursada aprobada")&gt;0))),P50&amp;" ",""))</f>
        <v>103</v>
      </c>
      <c r="T50" s="9" t="str">
        <f aca="false">IF(Q50="Cursada aprobada",IF(AND(OR(L50="",COUNTIF($F$2:$F$51,L50)=0,COUNTIFS($F$2:$F$51,L50,$Q$2:$Q$51,"Aprobada")&gt;0),OR(M50="",COUNTIF($F$2:$F$51,M50)=0,COUNTIFS($F$2:$F$51,M50,$Q$2:$Q$51,"Aprobada")&gt;0),OR(N50="",COUNTIF($F$2:$F$51,N50)=0,COUNTIFS($F$2:$F$51,N50,$Q$2:$Q$51,"Aprobada")&gt;0),OR(O50="",COUNTIF($F$2:$F$51,O50)=0,COUNTIFS($F$2:$F$51,O50,$Q$2:$Q$51,"Aprobada")&gt;0),OR(P50="",COUNTIF($F$2:$F$51,P50)=0,COUNTIFS($F$2:$F$51,P50,$Q$2:$Q$51,"Aprobada")&gt;0)),"Sí","No"),"")</f>
        <v/>
      </c>
      <c r="U50" s="9" t="str">
        <f aca="false">IF(Q50="Aprobada",TRIM(IF(NOT(OR(L50="",COUNTIF($F$2:$F$51,L50)=0,COUNTIFS($F$2:$F$51,L50,$Q$2:$Q$51,"Aprobada")&gt;0)),L50&amp;" ","")&amp;IF(NOT(OR(M50="",COUNTIF($F$2:$F$51,M50)=0,COUNTIFS($F$2:$F$51,M50,$Q$2:$Q$51,"Aprobada")&gt;0)),M50&amp;" ","")&amp;IF(NOT(OR(N50="",COUNTIF($F$2:$F$51,N50)=0,COUNTIFS($F$2:$F$51,N50,$Q$2:$Q$51,"Aprobada")&gt;0)),N50&amp;" ","")&amp;IF(NOT(OR(O50="",COUNTIF($F$2:$F$51,O50)=0,COUNTIFS($F$2:$F$51,O50,$Q$2:$Q$51,"Aprobada")&gt;0)),O50&amp;" ","")&amp;IF(NOT(OR(P50="",COUNTIF($F$2:$F$51,P50)=0,COUNTIFS($F$2:$F$51,P50,$Q$2:$Q$51,"Aprobada")&gt;0)),P50&amp;" ","")),IF(Q50="Cursada aprobada",TRIM(IF(NOT(OR(L50="",COUNTIF($F$2:$F$51,L50)=0,COUNTIFS($F$2:$F$51,L50,$Q$2:$Q$51,"Aprobada")&gt;0,AND(Resumen!$B$15="La cursada aprobada",COUNTIFS($F$2:$F$51,L50,$Q$2:$Q$51,"Cursada aprobada")&gt;0))),L50&amp;" ","")&amp;IF(NOT(OR(M50="",COUNTIF($F$2:$F$51,M50)=0,COUNTIFS($F$2:$F$51,M50,$Q$2:$Q$51,"Aprobada")&gt;0,AND(Resumen!$B$15="La cursada aprobada",COUNTIFS($F$2:$F$51,M50,$Q$2:$Q$51,"Cursada aprobada")&gt;0))),M50&amp;" ","")&amp;IF(NOT(OR(N50="",COUNTIF($F$2:$F$51,N50)=0,COUNTIFS($F$2:$F$51,N50,$Q$2:$Q$51,"Aprobada")&gt;0,AND(Resumen!$B$15="La cursada aprobada",COUNTIFS($F$2:$F$51,N50,$Q$2:$Q$51,"Cursada aprobada")&gt;0))),N50&amp;" ","")&amp;IF(NOT(OR(O50="",COUNTIF($F$2:$F$51,O50)=0,COUNTIFS($F$2:$F$51,O50,$Q$2:$Q$51,"Aprobada")&gt;0,AND(Resumen!$B$15="La cursada aprobada",COUNTIFS($F$2:$F$51,O50,$Q$2:$Q$51,"Cursada aprobada")&gt;0))),O50&amp;" ","")&amp;IF(NOT(OR(P50="",COUNTIF($F$2:$F$51,P50)=0,COUNTIFS($F$2:$F$51,P50,$Q$2:$Q$51,"Aprobada")&gt;0,AND(Resumen!$B$15="La cursada aprobada",COUNTIFS($F$2:$F$51,P50,$Q$2:$Q$51,"Cursada aprobada")&gt;0))),P50&amp;" ","")),""))</f>
        <v/>
      </c>
    </row>
    <row r="51" customFormat="false" ht="15" hidden="false" customHeight="false" outlineLevel="0" collapsed="false">
      <c r="A51" s="8" t="s">
        <v>116</v>
      </c>
      <c r="B51" s="8"/>
      <c r="C51" s="9"/>
      <c r="D51" s="9" t="n">
        <v>1</v>
      </c>
      <c r="E51" s="9" t="s">
        <v>122</v>
      </c>
      <c r="F51" s="9" t="n">
        <v>366</v>
      </c>
      <c r="G51" s="8" t="s">
        <v>123</v>
      </c>
      <c r="H51" s="9"/>
      <c r="I51" s="9"/>
      <c r="J51" s="9"/>
      <c r="K51" s="9" t="n">
        <v>30</v>
      </c>
      <c r="L51" s="9" t="n">
        <v>1005</v>
      </c>
      <c r="M51" s="9"/>
      <c r="N51" s="9"/>
      <c r="O51" s="9"/>
      <c r="P51" s="9"/>
      <c r="Q51" s="10" t="s">
        <v>62</v>
      </c>
      <c r="R51" s="9" t="str">
        <f aca="false">IF(Q51="Aprobada","Ya aprobada",IF(Q51="Cursada aprobada","Ya cursada",IF(AND(OR(L51="",COUNTIF($F$2:$F$51,L51)=0,COUNTIFS($F$2:$F$51,L51,$Q$2:$Q$51,"Aprobada")&gt;0,AND(Resumen!$B$15="La cursada aprobada",COUNTIFS($F$2:$F$51,L51,$Q$2:$Q$51,"Cursada aprobada")&gt;0)),OR(M51="",COUNTIF($F$2:$F$51,M51)=0,COUNTIFS($F$2:$F$51,M51,$Q$2:$Q$51,"Aprobada")&gt;0,AND(Resumen!$B$15="La cursada aprobada",COUNTIFS($F$2:$F$51,M51,$Q$2:$Q$51,"Cursada aprobada")&gt;0)),OR(N51="",COUNTIF($F$2:$F$51,N51)=0,COUNTIFS($F$2:$F$51,N51,$Q$2:$Q$51,"Aprobada")&gt;0,AND(Resumen!$B$15="La cursada aprobada",COUNTIFS($F$2:$F$51,N51,$Q$2:$Q$51,"Cursada aprobada")&gt;0)),OR(O51="",COUNTIF($F$2:$F$51,O51)=0,COUNTIFS($F$2:$F$51,O51,$Q$2:$Q$51,"Aprobada")&gt;0,AND(Resumen!$B$15="La cursada aprobada",COUNTIFS($F$2:$F$51,O51,$Q$2:$Q$51,"Cursada aprobada")&gt;0)),OR(P51="",COUNTIF($F$2:$F$51,P51)=0,COUNTIFS($F$2:$F$51,P51,$Q$2:$Q$51,"Aprobada")&gt;0,AND(Resumen!$B$15="La cursada aprobada",COUNTIFS($F$2:$F$51,P51,$Q$2:$Q$51,"Cursada aprobada")&gt;0))),"Sí","No")))</f>
        <v>No</v>
      </c>
      <c r="S51" s="8" t="str">
        <f aca="false">TRIM(IF(NOT(OR(L51="",COUNTIF($F$2:$F$51,L51)=0,COUNTIFS($F$2:$F$51,L51,$Q$2:$Q$51,"Aprobada")&gt;0,AND(Resumen!$B$15="La cursada aprobada",COUNTIFS($F$2:$F$51,L51,$Q$2:$Q$51,"Cursada aprobada")&gt;0))),L51&amp;" ","")&amp;IF(NOT(OR(M51="",COUNTIF($F$2:$F$51,M51)=0,COUNTIFS($F$2:$F$51,M51,$Q$2:$Q$51,"Aprobada")&gt;0,AND(Resumen!$B$15="La cursada aprobada",COUNTIFS($F$2:$F$51,M51,$Q$2:$Q$51,"Cursada aprobada")&gt;0))),M51&amp;" ","")&amp;IF(NOT(OR(N51="",COUNTIF($F$2:$F$51,N51)=0,COUNTIFS($F$2:$F$51,N51,$Q$2:$Q$51,"Aprobada")&gt;0,AND(Resumen!$B$15="La cursada aprobada",COUNTIFS($F$2:$F$51,N51,$Q$2:$Q$51,"Cursada aprobada")&gt;0))),N51&amp;" ","")&amp;IF(NOT(OR(O51="",COUNTIF($F$2:$F$51,O51)=0,COUNTIFS($F$2:$F$51,O51,$Q$2:$Q$51,"Aprobada")&gt;0,AND(Resumen!$B$15="La cursada aprobada",COUNTIFS($F$2:$F$51,O51,$Q$2:$Q$51,"Cursada aprobada")&gt;0))),O51&amp;" ","")&amp;IF(NOT(OR(P51="",COUNTIF($F$2:$F$51,P51)=0,COUNTIFS($F$2:$F$51,P51,$Q$2:$Q$51,"Aprobada")&gt;0,AND(Resumen!$B$15="La cursada aprobada",COUNTIFS($F$2:$F$51,P51,$Q$2:$Q$51,"Cursada aprobada")&gt;0))),P51&amp;" ",""))</f>
        <v>1005</v>
      </c>
      <c r="T51" s="9" t="str">
        <f aca="false">IF(Q51="Cursada aprobada",IF(AND(OR(L51="",COUNTIF($F$2:$F$51,L51)=0,COUNTIFS($F$2:$F$51,L51,$Q$2:$Q$51,"Aprobada")&gt;0),OR(M51="",COUNTIF($F$2:$F$51,M51)=0,COUNTIFS($F$2:$F$51,M51,$Q$2:$Q$51,"Aprobada")&gt;0),OR(N51="",COUNTIF($F$2:$F$51,N51)=0,COUNTIFS($F$2:$F$51,N51,$Q$2:$Q$51,"Aprobada")&gt;0),OR(O51="",COUNTIF($F$2:$F$51,O51)=0,COUNTIFS($F$2:$F$51,O51,$Q$2:$Q$51,"Aprobada")&gt;0),OR(P51="",COUNTIF($F$2:$F$51,P51)=0,COUNTIFS($F$2:$F$51,P51,$Q$2:$Q$51,"Aprobada")&gt;0)),"Sí","No"),"")</f>
        <v/>
      </c>
      <c r="U51" s="9" t="str">
        <f aca="false">IF(Q51="Aprobada",TRIM(IF(NOT(OR(L51="",COUNTIF($F$2:$F$51,L51)=0,COUNTIFS($F$2:$F$51,L51,$Q$2:$Q$51,"Aprobada")&gt;0)),L51&amp;" ","")&amp;IF(NOT(OR(M51="",COUNTIF($F$2:$F$51,M51)=0,COUNTIFS($F$2:$F$51,M51,$Q$2:$Q$51,"Aprobada")&gt;0)),M51&amp;" ","")&amp;IF(NOT(OR(N51="",COUNTIF($F$2:$F$51,N51)=0,COUNTIFS($F$2:$F$51,N51,$Q$2:$Q$51,"Aprobada")&gt;0)),N51&amp;" ","")&amp;IF(NOT(OR(O51="",COUNTIF($F$2:$F$51,O51)=0,COUNTIFS($F$2:$F$51,O51,$Q$2:$Q$51,"Aprobada")&gt;0)),O51&amp;" ","")&amp;IF(NOT(OR(P51="",COUNTIF($F$2:$F$51,P51)=0,COUNTIFS($F$2:$F$51,P51,$Q$2:$Q$51,"Aprobada")&gt;0)),P51&amp;" ","")),IF(Q51="Cursada aprobada",TRIM(IF(NOT(OR(L51="",COUNTIF($F$2:$F$51,L51)=0,COUNTIFS($F$2:$F$51,L51,$Q$2:$Q$51,"Aprobada")&gt;0,AND(Resumen!$B$15="La cursada aprobada",COUNTIFS($F$2:$F$51,L51,$Q$2:$Q$51,"Cursada aprobada")&gt;0))),L51&amp;" ","")&amp;IF(NOT(OR(M51="",COUNTIF($F$2:$F$51,M51)=0,COUNTIFS($F$2:$F$51,M51,$Q$2:$Q$51,"Aprobada")&gt;0,AND(Resumen!$B$15="La cursada aprobada",COUNTIFS($F$2:$F$51,M51,$Q$2:$Q$51,"Cursada aprobada")&gt;0))),M51&amp;" ","")&amp;IF(NOT(OR(N51="",COUNTIF($F$2:$F$51,N51)=0,COUNTIFS($F$2:$F$51,N51,$Q$2:$Q$51,"Aprobada")&gt;0,AND(Resumen!$B$15="La cursada aprobada",COUNTIFS($F$2:$F$51,N51,$Q$2:$Q$51,"Cursada aprobada")&gt;0))),N51&amp;" ","")&amp;IF(NOT(OR(O51="",COUNTIF($F$2:$F$51,O51)=0,COUNTIFS($F$2:$F$51,O51,$Q$2:$Q$51,"Aprobada")&gt;0,AND(Resumen!$B$15="La cursada aprobada",COUNTIFS($F$2:$F$51,O51,$Q$2:$Q$51,"Cursada aprobada")&gt;0))),O51&amp;" ","")&amp;IF(NOT(OR(P51="",COUNTIF($F$2:$F$51,P51)=0,COUNTIFS($F$2:$F$51,P51,$Q$2:$Q$51,"Aprobada")&gt;0,AND(Resumen!$B$15="La cursada aprobada",COUNTIFS($F$2:$F$51,P51,$Q$2:$Q$51,"Cursada aprobada")&gt;0))),P51&amp;" ","")),""))</f>
        <v/>
      </c>
    </row>
  </sheetData>
  <autoFilter ref="A1:U51"/>
  <conditionalFormatting sqref="Q2:Q51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51">
    <cfRule type="expression" priority="4" aboveAverage="0" equalAverage="0" bottom="0" percent="0" rank="0" text="" dxfId="10">
      <formula>LEN($U2)&gt;0</formula>
    </cfRule>
  </conditionalFormatting>
  <conditionalFormatting sqref="T2:T51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51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51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236</v>
      </c>
      <c r="B2" s="8"/>
      <c r="C2" s="9" t="n">
        <v>1</v>
      </c>
      <c r="D2" s="9"/>
      <c r="E2" s="9" t="s">
        <v>99</v>
      </c>
      <c r="F2" s="9" t="n">
        <v>291</v>
      </c>
      <c r="G2" s="8" t="s">
        <v>237</v>
      </c>
      <c r="H2" s="9" t="s">
        <v>92</v>
      </c>
      <c r="I2" s="9" t="n">
        <v>1</v>
      </c>
      <c r="J2" s="9"/>
      <c r="K2" s="9" t="n">
        <v>16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cursada",IF(AND(OR(L2="",COUNTIF($F$2:$F$25,L2)=0,COUNTIFS($F$2:$F$25,L2,$Q$2:$Q$25,"Aprobada")&gt;0,AND(Resumen!$B$15="La cursada aprobada",COUNTIFS($F$2:$F$25,L2,$Q$2:$Q$25,"Cursada aprobada")&gt;0)),OR(M2="",COUNTIF($F$2:$F$25,M2)=0,COUNTIFS($F$2:$F$25,M2,$Q$2:$Q$25,"Aprobada")&gt;0,AND(Resumen!$B$15="La cursada aprobada",COUNTIFS($F$2:$F$25,M2,$Q$2:$Q$25,"Cursada aprobada")&gt;0)),OR(N2="",COUNTIF($F$2:$F$25,N2)=0,COUNTIFS($F$2:$F$25,N2,$Q$2:$Q$25,"Aprobada")&gt;0,AND(Resumen!$B$15="La cursada aprobada",COUNTIFS($F$2:$F$25,N2,$Q$2:$Q$25,"Cursada aprobada")&gt;0)),OR(O2="",COUNTIF($F$2:$F$25,O2)=0,COUNTIFS($F$2:$F$25,O2,$Q$2:$Q$25,"Aprobada")&gt;0,AND(Resumen!$B$15="La cursada aprobada",COUNTIFS($F$2:$F$25,O2,$Q$2:$Q$25,"Cursada aprobada")&gt;0)),OR(P2="",COUNTIF($F$2:$F$25,P2)=0,COUNTIFS($F$2:$F$25,P2,$Q$2:$Q$25,"Aprobada")&gt;0,AND(Resumen!$B$15="La cursada aprobada",COUNTIFS($F$2:$F$25,P2,$Q$2:$Q$25,"Cursada aprobada")&gt;0))),"Sí","No")))</f>
        <v>Sí</v>
      </c>
      <c r="S2" s="8" t="str">
        <f aca="false">TRIM(IF(NOT(OR(L2="",COUNTIF($F$2:$F$25,L2)=0,COUNTIFS($F$2:$F$25,L2,$Q$2:$Q$25,"Aprobada")&gt;0,AND(Resumen!$B$15="La cursada aprobada",COUNTIFS($F$2:$F$25,L2,$Q$2:$Q$25,"Cursada aprobada")&gt;0))),L2&amp;" ","")&amp;IF(NOT(OR(M2="",COUNTIF($F$2:$F$25,M2)=0,COUNTIFS($F$2:$F$25,M2,$Q$2:$Q$25,"Aprobada")&gt;0,AND(Resumen!$B$15="La cursada aprobada",COUNTIFS($F$2:$F$25,M2,$Q$2:$Q$25,"Cursada aprobada")&gt;0))),M2&amp;" ","")&amp;IF(NOT(OR(N2="",COUNTIF($F$2:$F$25,N2)=0,COUNTIFS($F$2:$F$25,N2,$Q$2:$Q$25,"Aprobada")&gt;0,AND(Resumen!$B$15="La cursada aprobada",COUNTIFS($F$2:$F$25,N2,$Q$2:$Q$25,"Cursada aprobada")&gt;0))),N2&amp;" ","")&amp;IF(NOT(OR(O2="",COUNTIF($F$2:$F$25,O2)=0,COUNTIFS($F$2:$F$25,O2,$Q$2:$Q$25,"Aprobada")&gt;0,AND(Resumen!$B$15="La cursada aprobada",COUNTIFS($F$2:$F$25,O2,$Q$2:$Q$25,"Cursada aprobada")&gt;0))),O2&amp;" ","")&amp;IF(NOT(OR(P2="",COUNTIF($F$2:$F$25,P2)=0,COUNTIFS($F$2:$F$25,P2,$Q$2:$Q$25,"Aprobada")&gt;0,AND(Resumen!$B$15="La cursada aprobada",COUNTIFS($F$2:$F$25,P2,$Q$2:$Q$25,"Cursada aprobada")&gt;0))),P2&amp;" ",""))</f>
        <v/>
      </c>
      <c r="T2" s="9" t="str">
        <f aca="false">IF(Q2="Cursada aprobada",IF(AND(OR(L2="",COUNTIF($F$2:$F$25,L2)=0,COUNTIFS($F$2:$F$25,L2,$Q$2:$Q$25,"Aprobada")&gt;0),OR(M2="",COUNTIF($F$2:$F$25,M2)=0,COUNTIFS($F$2:$F$25,M2,$Q$2:$Q$25,"Aprobada")&gt;0),OR(N2="",COUNTIF($F$2:$F$25,N2)=0,COUNTIFS($F$2:$F$25,N2,$Q$2:$Q$25,"Aprobada")&gt;0),OR(O2="",COUNTIF($F$2:$F$25,O2)=0,COUNTIFS($F$2:$F$25,O2,$Q$2:$Q$25,"Aprobada")&gt;0),OR(P2="",COUNTIF($F$2:$F$25,P2)=0,COUNTIFS($F$2:$F$25,P2,$Q$2:$Q$25,"Aprobada")&gt;0)),"Sí","No"),"")</f>
        <v/>
      </c>
      <c r="U2" s="9" t="str">
        <f aca="false">IF(Q2="Aprobada",TRIM(IF(NOT(OR(L2="",COUNTIF($F$2:$F$25,L2)=0,COUNTIFS($F$2:$F$25,L2,$Q$2:$Q$25,"Aprobada")&gt;0)),L2&amp;" ","")&amp;IF(NOT(OR(M2="",COUNTIF($F$2:$F$25,M2)=0,COUNTIFS($F$2:$F$25,M2,$Q$2:$Q$25,"Aprobada")&gt;0)),M2&amp;" ","")&amp;IF(NOT(OR(N2="",COUNTIF($F$2:$F$25,N2)=0,COUNTIFS($F$2:$F$25,N2,$Q$2:$Q$25,"Aprobada")&gt;0)),N2&amp;" ","")&amp;IF(NOT(OR(O2="",COUNTIF($F$2:$F$25,O2)=0,COUNTIFS($F$2:$F$25,O2,$Q$2:$Q$25,"Aprobada")&gt;0)),O2&amp;" ","")&amp;IF(NOT(OR(P2="",COUNTIF($F$2:$F$25,P2)=0,COUNTIFS($F$2:$F$25,P2,$Q$2:$Q$25,"Aprobada")&gt;0)),P2&amp;" ","")),IF(Q2="Cursada aprobada",TRIM(IF(NOT(OR(L2="",COUNTIF($F$2:$F$25,L2)=0,COUNTIFS($F$2:$F$25,L2,$Q$2:$Q$25,"Aprobada")&gt;0,AND(Resumen!$B$15="La cursada aprobada",COUNTIFS($F$2:$F$25,L2,$Q$2:$Q$25,"Cursada aprobada")&gt;0))),L2&amp;" ","")&amp;IF(NOT(OR(M2="",COUNTIF($F$2:$F$25,M2)=0,COUNTIFS($F$2:$F$25,M2,$Q$2:$Q$25,"Aprobada")&gt;0,AND(Resumen!$B$15="La cursada aprobada",COUNTIFS($F$2:$F$25,M2,$Q$2:$Q$25,"Cursada aprobada")&gt;0))),M2&amp;" ","")&amp;IF(NOT(OR(N2="",COUNTIF($F$2:$F$25,N2)=0,COUNTIFS($F$2:$F$25,N2,$Q$2:$Q$25,"Aprobada")&gt;0,AND(Resumen!$B$15="La cursada aprobada",COUNTIFS($F$2:$F$25,N2,$Q$2:$Q$25,"Cursada aprobada")&gt;0))),N2&amp;" ","")&amp;IF(NOT(OR(O2="",COUNTIF($F$2:$F$25,O2)=0,COUNTIFS($F$2:$F$25,O2,$Q$2:$Q$25,"Aprobada")&gt;0,AND(Resumen!$B$15="La cursada aprobada",COUNTIFS($F$2:$F$25,O2,$Q$2:$Q$25,"Cursada aprobada")&gt;0))),O2&amp;" ","")&amp;IF(NOT(OR(P2="",COUNTIF($F$2:$F$25,P2)=0,COUNTIFS($F$2:$F$25,P2,$Q$2:$Q$25,"Aprobada")&gt;0,AND(Resumen!$B$15="La cursada aprobada",COUNTIFS($F$2:$F$25,P2,$Q$2:$Q$25,"Cursada aprobada")&gt;0))),P2&amp;" ","")),""))</f>
        <v/>
      </c>
    </row>
    <row r="3" customFormat="false" ht="15" hidden="false" customHeight="false" outlineLevel="0" collapsed="false">
      <c r="A3" s="8" t="s">
        <v>236</v>
      </c>
      <c r="B3" s="8"/>
      <c r="C3" s="9" t="n">
        <v>1</v>
      </c>
      <c r="D3" s="9"/>
      <c r="E3" s="9" t="s">
        <v>99</v>
      </c>
      <c r="F3" s="9" t="n">
        <v>292</v>
      </c>
      <c r="G3" s="8" t="s">
        <v>238</v>
      </c>
      <c r="H3" s="9" t="s">
        <v>92</v>
      </c>
      <c r="I3" s="9" t="n">
        <v>4</v>
      </c>
      <c r="J3" s="9"/>
      <c r="K3" s="9" t="n">
        <v>64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cursada",IF(AND(OR(L3="",COUNTIF($F$2:$F$25,L3)=0,COUNTIFS($F$2:$F$25,L3,$Q$2:$Q$25,"Aprobada")&gt;0,AND(Resumen!$B$15="La cursada aprobada",COUNTIFS($F$2:$F$25,L3,$Q$2:$Q$25,"Cursada aprobada")&gt;0)),OR(M3="",COUNTIF($F$2:$F$25,M3)=0,COUNTIFS($F$2:$F$25,M3,$Q$2:$Q$25,"Aprobada")&gt;0,AND(Resumen!$B$15="La cursada aprobada",COUNTIFS($F$2:$F$25,M3,$Q$2:$Q$25,"Cursada aprobada")&gt;0)),OR(N3="",COUNTIF($F$2:$F$25,N3)=0,COUNTIFS($F$2:$F$25,N3,$Q$2:$Q$25,"Aprobada")&gt;0,AND(Resumen!$B$15="La cursada aprobada",COUNTIFS($F$2:$F$25,N3,$Q$2:$Q$25,"Cursada aprobada")&gt;0)),OR(O3="",COUNTIF($F$2:$F$25,O3)=0,COUNTIFS($F$2:$F$25,O3,$Q$2:$Q$25,"Aprobada")&gt;0,AND(Resumen!$B$15="La cursada aprobada",COUNTIFS($F$2:$F$25,O3,$Q$2:$Q$25,"Cursada aprobada")&gt;0)),OR(P3="",COUNTIF($F$2:$F$25,P3)=0,COUNTIFS($F$2:$F$25,P3,$Q$2:$Q$25,"Aprobada")&gt;0,AND(Resumen!$B$15="La cursada aprobada",COUNTIFS($F$2:$F$25,P3,$Q$2:$Q$25,"Cursada aprobada")&gt;0))),"Sí","No")))</f>
        <v>Sí</v>
      </c>
      <c r="S3" s="8" t="str">
        <f aca="false">TRIM(IF(NOT(OR(L3="",COUNTIF($F$2:$F$25,L3)=0,COUNTIFS($F$2:$F$25,L3,$Q$2:$Q$25,"Aprobada")&gt;0,AND(Resumen!$B$15="La cursada aprobada",COUNTIFS($F$2:$F$25,L3,$Q$2:$Q$25,"Cursada aprobada")&gt;0))),L3&amp;" ","")&amp;IF(NOT(OR(M3="",COUNTIF($F$2:$F$25,M3)=0,COUNTIFS($F$2:$F$25,M3,$Q$2:$Q$25,"Aprobada")&gt;0,AND(Resumen!$B$15="La cursada aprobada",COUNTIFS($F$2:$F$25,M3,$Q$2:$Q$25,"Cursada aprobada")&gt;0))),M3&amp;" ","")&amp;IF(NOT(OR(N3="",COUNTIF($F$2:$F$25,N3)=0,COUNTIFS($F$2:$F$25,N3,$Q$2:$Q$25,"Aprobada")&gt;0,AND(Resumen!$B$15="La cursada aprobada",COUNTIFS($F$2:$F$25,N3,$Q$2:$Q$25,"Cursada aprobada")&gt;0))),N3&amp;" ","")&amp;IF(NOT(OR(O3="",COUNTIF($F$2:$F$25,O3)=0,COUNTIFS($F$2:$F$25,O3,$Q$2:$Q$25,"Aprobada")&gt;0,AND(Resumen!$B$15="La cursada aprobada",COUNTIFS($F$2:$F$25,O3,$Q$2:$Q$25,"Cursada aprobada")&gt;0))),O3&amp;" ","")&amp;IF(NOT(OR(P3="",COUNTIF($F$2:$F$25,P3)=0,COUNTIFS($F$2:$F$25,P3,$Q$2:$Q$25,"Aprobada")&gt;0,AND(Resumen!$B$15="La cursada aprobada",COUNTIFS($F$2:$F$25,P3,$Q$2:$Q$25,"Cursada aprobada")&gt;0))),P3&amp;" ",""))</f>
        <v/>
      </c>
      <c r="T3" s="9" t="str">
        <f aca="false">IF(Q3="Cursada aprobada",IF(AND(OR(L3="",COUNTIF($F$2:$F$25,L3)=0,COUNTIFS($F$2:$F$25,L3,$Q$2:$Q$25,"Aprobada")&gt;0),OR(M3="",COUNTIF($F$2:$F$25,M3)=0,COUNTIFS($F$2:$F$25,M3,$Q$2:$Q$25,"Aprobada")&gt;0),OR(N3="",COUNTIF($F$2:$F$25,N3)=0,COUNTIFS($F$2:$F$25,N3,$Q$2:$Q$25,"Aprobada")&gt;0),OR(O3="",COUNTIF($F$2:$F$25,O3)=0,COUNTIFS($F$2:$F$25,O3,$Q$2:$Q$25,"Aprobada")&gt;0),OR(P3="",COUNTIF($F$2:$F$25,P3)=0,COUNTIFS($F$2:$F$25,P3,$Q$2:$Q$25,"Aprobada")&gt;0)),"Sí","No"),"")</f>
        <v/>
      </c>
      <c r="U3" s="9" t="str">
        <f aca="false">IF(Q3="Aprobada",TRIM(IF(NOT(OR(L3="",COUNTIF($F$2:$F$25,L3)=0,COUNTIFS($F$2:$F$25,L3,$Q$2:$Q$25,"Aprobada")&gt;0)),L3&amp;" ","")&amp;IF(NOT(OR(M3="",COUNTIF($F$2:$F$25,M3)=0,COUNTIFS($F$2:$F$25,M3,$Q$2:$Q$25,"Aprobada")&gt;0)),M3&amp;" ","")&amp;IF(NOT(OR(N3="",COUNTIF($F$2:$F$25,N3)=0,COUNTIFS($F$2:$F$25,N3,$Q$2:$Q$25,"Aprobada")&gt;0)),N3&amp;" ","")&amp;IF(NOT(OR(O3="",COUNTIF($F$2:$F$25,O3)=0,COUNTIFS($F$2:$F$25,O3,$Q$2:$Q$25,"Aprobada")&gt;0)),O3&amp;" ","")&amp;IF(NOT(OR(P3="",COUNTIF($F$2:$F$25,P3)=0,COUNTIFS($F$2:$F$25,P3,$Q$2:$Q$25,"Aprobada")&gt;0)),P3&amp;" ","")),IF(Q3="Cursada aprobada",TRIM(IF(NOT(OR(L3="",COUNTIF($F$2:$F$25,L3)=0,COUNTIFS($F$2:$F$25,L3,$Q$2:$Q$25,"Aprobada")&gt;0,AND(Resumen!$B$15="La cursada aprobada",COUNTIFS($F$2:$F$25,L3,$Q$2:$Q$25,"Cursada aprobada")&gt;0))),L3&amp;" ","")&amp;IF(NOT(OR(M3="",COUNTIF($F$2:$F$25,M3)=0,COUNTIFS($F$2:$F$25,M3,$Q$2:$Q$25,"Aprobada")&gt;0,AND(Resumen!$B$15="La cursada aprobada",COUNTIFS($F$2:$F$25,M3,$Q$2:$Q$25,"Cursada aprobada")&gt;0))),M3&amp;" ","")&amp;IF(NOT(OR(N3="",COUNTIF($F$2:$F$25,N3)=0,COUNTIFS($F$2:$F$25,N3,$Q$2:$Q$25,"Aprobada")&gt;0,AND(Resumen!$B$15="La cursada aprobada",COUNTIFS($F$2:$F$25,N3,$Q$2:$Q$25,"Cursada aprobada")&gt;0))),N3&amp;" ","")&amp;IF(NOT(OR(O3="",COUNTIF($F$2:$F$25,O3)=0,COUNTIFS($F$2:$F$25,O3,$Q$2:$Q$25,"Aprobada")&gt;0,AND(Resumen!$B$15="La cursada aprobada",COUNTIFS($F$2:$F$25,O3,$Q$2:$Q$25,"Cursada aprobada")&gt;0))),O3&amp;" ","")&amp;IF(NOT(OR(P3="",COUNTIF($F$2:$F$25,P3)=0,COUNTIFS($F$2:$F$25,P3,$Q$2:$Q$25,"Aprobada")&gt;0,AND(Resumen!$B$15="La cursada aprobada",COUNTIFS($F$2:$F$25,P3,$Q$2:$Q$25,"Cursada aprobada")&gt;0))),P3&amp;" ","")),""))</f>
        <v/>
      </c>
    </row>
    <row r="4" customFormat="false" ht="15" hidden="false" customHeight="false" outlineLevel="0" collapsed="false">
      <c r="A4" s="8" t="s">
        <v>236</v>
      </c>
      <c r="B4" s="8"/>
      <c r="C4" s="9" t="n">
        <v>1</v>
      </c>
      <c r="D4" s="9"/>
      <c r="E4" s="9" t="s">
        <v>99</v>
      </c>
      <c r="F4" s="9" t="n">
        <v>293</v>
      </c>
      <c r="G4" s="8" t="s">
        <v>239</v>
      </c>
      <c r="H4" s="9" t="s">
        <v>92</v>
      </c>
      <c r="I4" s="9" t="n">
        <v>2</v>
      </c>
      <c r="J4" s="9"/>
      <c r="K4" s="9" t="n">
        <v>32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cursada",IF(AND(OR(L4="",COUNTIF($F$2:$F$25,L4)=0,COUNTIFS($F$2:$F$25,L4,$Q$2:$Q$25,"Aprobada")&gt;0,AND(Resumen!$B$15="La cursada aprobada",COUNTIFS($F$2:$F$25,L4,$Q$2:$Q$25,"Cursada aprobada")&gt;0)),OR(M4="",COUNTIF($F$2:$F$25,M4)=0,COUNTIFS($F$2:$F$25,M4,$Q$2:$Q$25,"Aprobada")&gt;0,AND(Resumen!$B$15="La cursada aprobada",COUNTIFS($F$2:$F$25,M4,$Q$2:$Q$25,"Cursada aprobada")&gt;0)),OR(N4="",COUNTIF($F$2:$F$25,N4)=0,COUNTIFS($F$2:$F$25,N4,$Q$2:$Q$25,"Aprobada")&gt;0,AND(Resumen!$B$15="La cursada aprobada",COUNTIFS($F$2:$F$25,N4,$Q$2:$Q$25,"Cursada aprobada")&gt;0)),OR(O4="",COUNTIF($F$2:$F$25,O4)=0,COUNTIFS($F$2:$F$25,O4,$Q$2:$Q$25,"Aprobada")&gt;0,AND(Resumen!$B$15="La cursada aprobada",COUNTIFS($F$2:$F$25,O4,$Q$2:$Q$25,"Cursada aprobada")&gt;0)),OR(P4="",COUNTIF($F$2:$F$25,P4)=0,COUNTIFS($F$2:$F$25,P4,$Q$2:$Q$25,"Aprobada")&gt;0,AND(Resumen!$B$15="La cursada aprobada",COUNTIFS($F$2:$F$25,P4,$Q$2:$Q$25,"Cursada aprobada")&gt;0))),"Sí","No")))</f>
        <v>Sí</v>
      </c>
      <c r="S4" s="8" t="str">
        <f aca="false">TRIM(IF(NOT(OR(L4="",COUNTIF($F$2:$F$25,L4)=0,COUNTIFS($F$2:$F$25,L4,$Q$2:$Q$25,"Aprobada")&gt;0,AND(Resumen!$B$15="La cursada aprobada",COUNTIFS($F$2:$F$25,L4,$Q$2:$Q$25,"Cursada aprobada")&gt;0))),L4&amp;" ","")&amp;IF(NOT(OR(M4="",COUNTIF($F$2:$F$25,M4)=0,COUNTIFS($F$2:$F$25,M4,$Q$2:$Q$25,"Aprobada")&gt;0,AND(Resumen!$B$15="La cursada aprobada",COUNTIFS($F$2:$F$25,M4,$Q$2:$Q$25,"Cursada aprobada")&gt;0))),M4&amp;" ","")&amp;IF(NOT(OR(N4="",COUNTIF($F$2:$F$25,N4)=0,COUNTIFS($F$2:$F$25,N4,$Q$2:$Q$25,"Aprobada")&gt;0,AND(Resumen!$B$15="La cursada aprobada",COUNTIFS($F$2:$F$25,N4,$Q$2:$Q$25,"Cursada aprobada")&gt;0))),N4&amp;" ","")&amp;IF(NOT(OR(O4="",COUNTIF($F$2:$F$25,O4)=0,COUNTIFS($F$2:$F$25,O4,$Q$2:$Q$25,"Aprobada")&gt;0,AND(Resumen!$B$15="La cursada aprobada",COUNTIFS($F$2:$F$25,O4,$Q$2:$Q$25,"Cursada aprobada")&gt;0))),O4&amp;" ","")&amp;IF(NOT(OR(P4="",COUNTIF($F$2:$F$25,P4)=0,COUNTIFS($F$2:$F$25,P4,$Q$2:$Q$25,"Aprobada")&gt;0,AND(Resumen!$B$15="La cursada aprobada",COUNTIFS($F$2:$F$25,P4,$Q$2:$Q$25,"Cursada aprobada")&gt;0))),P4&amp;" ",""))</f>
        <v/>
      </c>
      <c r="T4" s="9" t="str">
        <f aca="false">IF(Q4="Cursada aprobada",IF(AND(OR(L4="",COUNTIF($F$2:$F$25,L4)=0,COUNTIFS($F$2:$F$25,L4,$Q$2:$Q$25,"Aprobada")&gt;0),OR(M4="",COUNTIF($F$2:$F$25,M4)=0,COUNTIFS($F$2:$F$25,M4,$Q$2:$Q$25,"Aprobada")&gt;0),OR(N4="",COUNTIF($F$2:$F$25,N4)=0,COUNTIFS($F$2:$F$25,N4,$Q$2:$Q$25,"Aprobada")&gt;0),OR(O4="",COUNTIF($F$2:$F$25,O4)=0,COUNTIFS($F$2:$F$25,O4,$Q$2:$Q$25,"Aprobada")&gt;0),OR(P4="",COUNTIF($F$2:$F$25,P4)=0,COUNTIFS($F$2:$F$25,P4,$Q$2:$Q$25,"Aprobada")&gt;0)),"Sí","No"),"")</f>
        <v/>
      </c>
      <c r="U4" s="9" t="str">
        <f aca="false">IF(Q4="Aprobada",TRIM(IF(NOT(OR(L4="",COUNTIF($F$2:$F$25,L4)=0,COUNTIFS($F$2:$F$25,L4,$Q$2:$Q$25,"Aprobada")&gt;0)),L4&amp;" ","")&amp;IF(NOT(OR(M4="",COUNTIF($F$2:$F$25,M4)=0,COUNTIFS($F$2:$F$25,M4,$Q$2:$Q$25,"Aprobada")&gt;0)),M4&amp;" ","")&amp;IF(NOT(OR(N4="",COUNTIF($F$2:$F$25,N4)=0,COUNTIFS($F$2:$F$25,N4,$Q$2:$Q$25,"Aprobada")&gt;0)),N4&amp;" ","")&amp;IF(NOT(OR(O4="",COUNTIF($F$2:$F$25,O4)=0,COUNTIFS($F$2:$F$25,O4,$Q$2:$Q$25,"Aprobada")&gt;0)),O4&amp;" ","")&amp;IF(NOT(OR(P4="",COUNTIF($F$2:$F$25,P4)=0,COUNTIFS($F$2:$F$25,P4,$Q$2:$Q$25,"Aprobada")&gt;0)),P4&amp;" ","")),IF(Q4="Cursada aprobada",TRIM(IF(NOT(OR(L4="",COUNTIF($F$2:$F$25,L4)=0,COUNTIFS($F$2:$F$25,L4,$Q$2:$Q$25,"Aprobada")&gt;0,AND(Resumen!$B$15="La cursada aprobada",COUNTIFS($F$2:$F$25,L4,$Q$2:$Q$25,"Cursada aprobada")&gt;0))),L4&amp;" ","")&amp;IF(NOT(OR(M4="",COUNTIF($F$2:$F$25,M4)=0,COUNTIFS($F$2:$F$25,M4,$Q$2:$Q$25,"Aprobada")&gt;0,AND(Resumen!$B$15="La cursada aprobada",COUNTIFS($F$2:$F$25,M4,$Q$2:$Q$25,"Cursada aprobada")&gt;0))),M4&amp;" ","")&amp;IF(NOT(OR(N4="",COUNTIF($F$2:$F$25,N4)=0,COUNTIFS($F$2:$F$25,N4,$Q$2:$Q$25,"Aprobada")&gt;0,AND(Resumen!$B$15="La cursada aprobada",COUNTIFS($F$2:$F$25,N4,$Q$2:$Q$25,"Cursada aprobada")&gt;0))),N4&amp;" ","")&amp;IF(NOT(OR(O4="",COUNTIF($F$2:$F$25,O4)=0,COUNTIFS($F$2:$F$25,O4,$Q$2:$Q$25,"Aprobada")&gt;0,AND(Resumen!$B$15="La cursada aprobada",COUNTIFS($F$2:$F$25,O4,$Q$2:$Q$25,"Cursada aprobada")&gt;0))),O4&amp;" ","")&amp;IF(NOT(OR(P4="",COUNTIF($F$2:$F$25,P4)=0,COUNTIFS($F$2:$F$25,P4,$Q$2:$Q$25,"Aprobada")&gt;0,AND(Resumen!$B$15="La cursada aprobada",COUNTIFS($F$2:$F$25,P4,$Q$2:$Q$25,"Cursada aprobada")&gt;0))),P4&amp;" ","")),""))</f>
        <v/>
      </c>
    </row>
    <row r="5" customFormat="false" ht="15" hidden="false" customHeight="false" outlineLevel="0" collapsed="false">
      <c r="A5" s="8" t="s">
        <v>240</v>
      </c>
      <c r="B5" s="8"/>
      <c r="C5" s="9" t="n">
        <v>1</v>
      </c>
      <c r="D5" s="9" t="s">
        <v>241</v>
      </c>
      <c r="E5" s="9" t="s">
        <v>59</v>
      </c>
      <c r="F5" s="9" t="n">
        <v>101</v>
      </c>
      <c r="G5" s="8" t="s">
        <v>60</v>
      </c>
      <c r="H5" s="9" t="s">
        <v>61</v>
      </c>
      <c r="I5" s="9" t="n">
        <v>6</v>
      </c>
      <c r="J5" s="9"/>
      <c r="K5" s="9" t="n">
        <v>96</v>
      </c>
      <c r="L5" s="9" t="n">
        <v>291</v>
      </c>
      <c r="M5" s="9" t="n">
        <v>292</v>
      </c>
      <c r="N5" s="9" t="n">
        <v>293</v>
      </c>
      <c r="O5" s="9"/>
      <c r="P5" s="9"/>
      <c r="Q5" s="10" t="s">
        <v>62</v>
      </c>
      <c r="R5" s="9" t="str">
        <f aca="false">IF(Q5="Aprobada","Ya aprobada",IF(Q5="Cursada aprobada","Ya cursada",IF(AND(OR(L5="",COUNTIF($F$2:$F$25,L5)=0,COUNTIFS($F$2:$F$25,L5,$Q$2:$Q$25,"Aprobada")&gt;0,AND(Resumen!$B$15="La cursada aprobada",COUNTIFS($F$2:$F$25,L5,$Q$2:$Q$25,"Cursada aprobada")&gt;0)),OR(M5="",COUNTIF($F$2:$F$25,M5)=0,COUNTIFS($F$2:$F$25,M5,$Q$2:$Q$25,"Aprobada")&gt;0,AND(Resumen!$B$15="La cursada aprobada",COUNTIFS($F$2:$F$25,M5,$Q$2:$Q$25,"Cursada aprobada")&gt;0)),OR(N5="",COUNTIF($F$2:$F$25,N5)=0,COUNTIFS($F$2:$F$25,N5,$Q$2:$Q$25,"Aprobada")&gt;0,AND(Resumen!$B$15="La cursada aprobada",COUNTIFS($F$2:$F$25,N5,$Q$2:$Q$25,"Cursada aprobada")&gt;0)),OR(O5="",COUNTIF($F$2:$F$25,O5)=0,COUNTIFS($F$2:$F$25,O5,$Q$2:$Q$25,"Aprobada")&gt;0,AND(Resumen!$B$15="La cursada aprobada",COUNTIFS($F$2:$F$25,O5,$Q$2:$Q$25,"Cursada aprobada")&gt;0)),OR(P5="",COUNTIF($F$2:$F$25,P5)=0,COUNTIFS($F$2:$F$25,P5,$Q$2:$Q$25,"Aprobada")&gt;0,AND(Resumen!$B$15="La cursada aprobada",COUNTIFS($F$2:$F$25,P5,$Q$2:$Q$25,"Cursada aprobada")&gt;0))),"Sí","No")))</f>
        <v>No</v>
      </c>
      <c r="S5" s="8" t="str">
        <f aca="false">TRIM(IF(NOT(OR(L5="",COUNTIF($F$2:$F$25,L5)=0,COUNTIFS($F$2:$F$25,L5,$Q$2:$Q$25,"Aprobada")&gt;0,AND(Resumen!$B$15="La cursada aprobada",COUNTIFS($F$2:$F$25,L5,$Q$2:$Q$25,"Cursada aprobada")&gt;0))),L5&amp;" ","")&amp;IF(NOT(OR(M5="",COUNTIF($F$2:$F$25,M5)=0,COUNTIFS($F$2:$F$25,M5,$Q$2:$Q$25,"Aprobada")&gt;0,AND(Resumen!$B$15="La cursada aprobada",COUNTIFS($F$2:$F$25,M5,$Q$2:$Q$25,"Cursada aprobada")&gt;0))),M5&amp;" ","")&amp;IF(NOT(OR(N5="",COUNTIF($F$2:$F$25,N5)=0,COUNTIFS($F$2:$F$25,N5,$Q$2:$Q$25,"Aprobada")&gt;0,AND(Resumen!$B$15="La cursada aprobada",COUNTIFS($F$2:$F$25,N5,$Q$2:$Q$25,"Cursada aprobada")&gt;0))),N5&amp;" ","")&amp;IF(NOT(OR(O5="",COUNTIF($F$2:$F$25,O5)=0,COUNTIFS($F$2:$F$25,O5,$Q$2:$Q$25,"Aprobada")&gt;0,AND(Resumen!$B$15="La cursada aprobada",COUNTIFS($F$2:$F$25,O5,$Q$2:$Q$25,"Cursada aprobada")&gt;0))),O5&amp;" ","")&amp;IF(NOT(OR(P5="",COUNTIF($F$2:$F$25,P5)=0,COUNTIFS($F$2:$F$25,P5,$Q$2:$Q$25,"Aprobada")&gt;0,AND(Resumen!$B$15="La cursada aprobada",COUNTIFS($F$2:$F$25,P5,$Q$2:$Q$25,"Cursada aprobada")&gt;0))),P5&amp;" ",""))</f>
        <v>291 292 293</v>
      </c>
      <c r="T5" s="9" t="str">
        <f aca="false">IF(Q5="Cursada aprobada",IF(AND(OR(L5="",COUNTIF($F$2:$F$25,L5)=0,COUNTIFS($F$2:$F$25,L5,$Q$2:$Q$25,"Aprobada")&gt;0),OR(M5="",COUNTIF($F$2:$F$25,M5)=0,COUNTIFS($F$2:$F$25,M5,$Q$2:$Q$25,"Aprobada")&gt;0),OR(N5="",COUNTIF($F$2:$F$25,N5)=0,COUNTIFS($F$2:$F$25,N5,$Q$2:$Q$25,"Aprobada")&gt;0),OR(O5="",COUNTIF($F$2:$F$25,O5)=0,COUNTIFS($F$2:$F$25,O5,$Q$2:$Q$25,"Aprobada")&gt;0),OR(P5="",COUNTIF($F$2:$F$25,P5)=0,COUNTIFS($F$2:$F$25,P5,$Q$2:$Q$25,"Aprobada")&gt;0)),"Sí","No"),"")</f>
        <v/>
      </c>
      <c r="U5" s="9" t="str">
        <f aca="false">IF(Q5="Aprobada",TRIM(IF(NOT(OR(L5="",COUNTIF($F$2:$F$25,L5)=0,COUNTIFS($F$2:$F$25,L5,$Q$2:$Q$25,"Aprobada")&gt;0)),L5&amp;" ","")&amp;IF(NOT(OR(M5="",COUNTIF($F$2:$F$25,M5)=0,COUNTIFS($F$2:$F$25,M5,$Q$2:$Q$25,"Aprobada")&gt;0)),M5&amp;" ","")&amp;IF(NOT(OR(N5="",COUNTIF($F$2:$F$25,N5)=0,COUNTIFS($F$2:$F$25,N5,$Q$2:$Q$25,"Aprobada")&gt;0)),N5&amp;" ","")&amp;IF(NOT(OR(O5="",COUNTIF($F$2:$F$25,O5)=0,COUNTIFS($F$2:$F$25,O5,$Q$2:$Q$25,"Aprobada")&gt;0)),O5&amp;" ","")&amp;IF(NOT(OR(P5="",COUNTIF($F$2:$F$25,P5)=0,COUNTIFS($F$2:$F$25,P5,$Q$2:$Q$25,"Aprobada")&gt;0)),P5&amp;" ","")),IF(Q5="Cursada aprobada",TRIM(IF(NOT(OR(L5="",COUNTIF($F$2:$F$25,L5)=0,COUNTIFS($F$2:$F$25,L5,$Q$2:$Q$25,"Aprobada")&gt;0,AND(Resumen!$B$15="La cursada aprobada",COUNTIFS($F$2:$F$25,L5,$Q$2:$Q$25,"Cursada aprobada")&gt;0))),L5&amp;" ","")&amp;IF(NOT(OR(M5="",COUNTIF($F$2:$F$25,M5)=0,COUNTIFS($F$2:$F$25,M5,$Q$2:$Q$25,"Aprobada")&gt;0,AND(Resumen!$B$15="La cursada aprobada",COUNTIFS($F$2:$F$25,M5,$Q$2:$Q$25,"Cursada aprobada")&gt;0))),M5&amp;" ","")&amp;IF(NOT(OR(N5="",COUNTIF($F$2:$F$25,N5)=0,COUNTIFS($F$2:$F$25,N5,$Q$2:$Q$25,"Aprobada")&gt;0,AND(Resumen!$B$15="La cursada aprobada",COUNTIFS($F$2:$F$25,N5,$Q$2:$Q$25,"Cursada aprobada")&gt;0))),N5&amp;" ","")&amp;IF(NOT(OR(O5="",COUNTIF($F$2:$F$25,O5)=0,COUNTIFS($F$2:$F$25,O5,$Q$2:$Q$25,"Aprobada")&gt;0,AND(Resumen!$B$15="La cursada aprobada",COUNTIFS($F$2:$F$25,O5,$Q$2:$Q$25,"Cursada aprobada")&gt;0))),O5&amp;" ","")&amp;IF(NOT(OR(P5="",COUNTIF($F$2:$F$25,P5)=0,COUNTIFS($F$2:$F$25,P5,$Q$2:$Q$25,"Aprobada")&gt;0,AND(Resumen!$B$15="La cursada aprobada",COUNTIFS($F$2:$F$25,P5,$Q$2:$Q$25,"Cursada aprobada")&gt;0))),P5&amp;" ","")),""))</f>
        <v/>
      </c>
    </row>
    <row r="6" customFormat="false" ht="15" hidden="false" customHeight="false" outlineLevel="0" collapsed="false">
      <c r="A6" s="8" t="s">
        <v>240</v>
      </c>
      <c r="B6" s="8"/>
      <c r="C6" s="9" t="n">
        <v>1</v>
      </c>
      <c r="D6" s="9" t="s">
        <v>241</v>
      </c>
      <c r="E6" s="9" t="s">
        <v>77</v>
      </c>
      <c r="F6" s="9" t="n">
        <v>1123</v>
      </c>
      <c r="G6" s="8" t="s">
        <v>242</v>
      </c>
      <c r="H6" s="9" t="s">
        <v>71</v>
      </c>
      <c r="I6" s="9" t="n">
        <v>4</v>
      </c>
      <c r="J6" s="9"/>
      <c r="K6" s="9" t="n">
        <v>64</v>
      </c>
      <c r="L6" s="9" t="n">
        <v>291</v>
      </c>
      <c r="M6" s="9" t="n">
        <v>292</v>
      </c>
      <c r="N6" s="9" t="n">
        <v>293</v>
      </c>
      <c r="O6" s="9"/>
      <c r="P6" s="9"/>
      <c r="Q6" s="10" t="s">
        <v>62</v>
      </c>
      <c r="R6" s="9" t="str">
        <f aca="false">IF(Q6="Aprobada","Ya aprobada",IF(Q6="Cursada aprobada","Ya cursada",IF(AND(OR(L6="",COUNTIF($F$2:$F$25,L6)=0,COUNTIFS($F$2:$F$25,L6,$Q$2:$Q$25,"Aprobada")&gt;0,AND(Resumen!$B$15="La cursada aprobada",COUNTIFS($F$2:$F$25,L6,$Q$2:$Q$25,"Cursada aprobada")&gt;0)),OR(M6="",COUNTIF($F$2:$F$25,M6)=0,COUNTIFS($F$2:$F$25,M6,$Q$2:$Q$25,"Aprobada")&gt;0,AND(Resumen!$B$15="La cursada aprobada",COUNTIFS($F$2:$F$25,M6,$Q$2:$Q$25,"Cursada aprobada")&gt;0)),OR(N6="",COUNTIF($F$2:$F$25,N6)=0,COUNTIFS($F$2:$F$25,N6,$Q$2:$Q$25,"Aprobada")&gt;0,AND(Resumen!$B$15="La cursada aprobada",COUNTIFS($F$2:$F$25,N6,$Q$2:$Q$25,"Cursada aprobada")&gt;0)),OR(O6="",COUNTIF($F$2:$F$25,O6)=0,COUNTIFS($F$2:$F$25,O6,$Q$2:$Q$25,"Aprobada")&gt;0,AND(Resumen!$B$15="La cursada aprobada",COUNTIFS($F$2:$F$25,O6,$Q$2:$Q$25,"Cursada aprobada")&gt;0)),OR(P6="",COUNTIF($F$2:$F$25,P6)=0,COUNTIFS($F$2:$F$25,P6,$Q$2:$Q$25,"Aprobada")&gt;0,AND(Resumen!$B$15="La cursada aprobada",COUNTIFS($F$2:$F$25,P6,$Q$2:$Q$25,"Cursada aprobada")&gt;0))),"Sí","No")))</f>
        <v>No</v>
      </c>
      <c r="S6" s="8" t="str">
        <f aca="false">TRIM(IF(NOT(OR(L6="",COUNTIF($F$2:$F$25,L6)=0,COUNTIFS($F$2:$F$25,L6,$Q$2:$Q$25,"Aprobada")&gt;0,AND(Resumen!$B$15="La cursada aprobada",COUNTIFS($F$2:$F$25,L6,$Q$2:$Q$25,"Cursada aprobada")&gt;0))),L6&amp;" ","")&amp;IF(NOT(OR(M6="",COUNTIF($F$2:$F$25,M6)=0,COUNTIFS($F$2:$F$25,M6,$Q$2:$Q$25,"Aprobada")&gt;0,AND(Resumen!$B$15="La cursada aprobada",COUNTIFS($F$2:$F$25,M6,$Q$2:$Q$25,"Cursada aprobada")&gt;0))),M6&amp;" ","")&amp;IF(NOT(OR(N6="",COUNTIF($F$2:$F$25,N6)=0,COUNTIFS($F$2:$F$25,N6,$Q$2:$Q$25,"Aprobada")&gt;0,AND(Resumen!$B$15="La cursada aprobada",COUNTIFS($F$2:$F$25,N6,$Q$2:$Q$25,"Cursada aprobada")&gt;0))),N6&amp;" ","")&amp;IF(NOT(OR(O6="",COUNTIF($F$2:$F$25,O6)=0,COUNTIFS($F$2:$F$25,O6,$Q$2:$Q$25,"Aprobada")&gt;0,AND(Resumen!$B$15="La cursada aprobada",COUNTIFS($F$2:$F$25,O6,$Q$2:$Q$25,"Cursada aprobada")&gt;0))),O6&amp;" ","")&amp;IF(NOT(OR(P6="",COUNTIF($F$2:$F$25,P6)=0,COUNTIFS($F$2:$F$25,P6,$Q$2:$Q$25,"Aprobada")&gt;0,AND(Resumen!$B$15="La cursada aprobada",COUNTIFS($F$2:$F$25,P6,$Q$2:$Q$25,"Cursada aprobada")&gt;0))),P6&amp;" ",""))</f>
        <v>291 292 293</v>
      </c>
      <c r="T6" s="9" t="str">
        <f aca="false">IF(Q6="Cursada aprobada",IF(AND(OR(L6="",COUNTIF($F$2:$F$25,L6)=0,COUNTIFS($F$2:$F$25,L6,$Q$2:$Q$25,"Aprobada")&gt;0),OR(M6="",COUNTIF($F$2:$F$25,M6)=0,COUNTIFS($F$2:$F$25,M6,$Q$2:$Q$25,"Aprobada")&gt;0),OR(N6="",COUNTIF($F$2:$F$25,N6)=0,COUNTIFS($F$2:$F$25,N6,$Q$2:$Q$25,"Aprobada")&gt;0),OR(O6="",COUNTIF($F$2:$F$25,O6)=0,COUNTIFS($F$2:$F$25,O6,$Q$2:$Q$25,"Aprobada")&gt;0),OR(P6="",COUNTIF($F$2:$F$25,P6)=0,COUNTIFS($F$2:$F$25,P6,$Q$2:$Q$25,"Aprobada")&gt;0)),"Sí","No"),"")</f>
        <v/>
      </c>
      <c r="U6" s="9" t="str">
        <f aca="false">IF(Q6="Aprobada",TRIM(IF(NOT(OR(L6="",COUNTIF($F$2:$F$25,L6)=0,COUNTIFS($F$2:$F$25,L6,$Q$2:$Q$25,"Aprobada")&gt;0)),L6&amp;" ","")&amp;IF(NOT(OR(M6="",COUNTIF($F$2:$F$25,M6)=0,COUNTIFS($F$2:$F$25,M6,$Q$2:$Q$25,"Aprobada")&gt;0)),M6&amp;" ","")&amp;IF(NOT(OR(N6="",COUNTIF($F$2:$F$25,N6)=0,COUNTIFS($F$2:$F$25,N6,$Q$2:$Q$25,"Aprobada")&gt;0)),N6&amp;" ","")&amp;IF(NOT(OR(O6="",COUNTIF($F$2:$F$25,O6)=0,COUNTIFS($F$2:$F$25,O6,$Q$2:$Q$25,"Aprobada")&gt;0)),O6&amp;" ","")&amp;IF(NOT(OR(P6="",COUNTIF($F$2:$F$25,P6)=0,COUNTIFS($F$2:$F$25,P6,$Q$2:$Q$25,"Aprobada")&gt;0)),P6&amp;" ","")),IF(Q6="Cursada aprobada",TRIM(IF(NOT(OR(L6="",COUNTIF($F$2:$F$25,L6)=0,COUNTIFS($F$2:$F$25,L6,$Q$2:$Q$25,"Aprobada")&gt;0,AND(Resumen!$B$15="La cursada aprobada",COUNTIFS($F$2:$F$25,L6,$Q$2:$Q$25,"Cursada aprobada")&gt;0))),L6&amp;" ","")&amp;IF(NOT(OR(M6="",COUNTIF($F$2:$F$25,M6)=0,COUNTIFS($F$2:$F$25,M6,$Q$2:$Q$25,"Aprobada")&gt;0,AND(Resumen!$B$15="La cursada aprobada",COUNTIFS($F$2:$F$25,M6,$Q$2:$Q$25,"Cursada aprobada")&gt;0))),M6&amp;" ","")&amp;IF(NOT(OR(N6="",COUNTIF($F$2:$F$25,N6)=0,COUNTIFS($F$2:$F$25,N6,$Q$2:$Q$25,"Aprobada")&gt;0,AND(Resumen!$B$15="La cursada aprobada",COUNTIFS($F$2:$F$25,N6,$Q$2:$Q$25,"Cursada aprobada")&gt;0))),N6&amp;" ","")&amp;IF(NOT(OR(O6="",COUNTIF($F$2:$F$25,O6)=0,COUNTIFS($F$2:$F$25,O6,$Q$2:$Q$25,"Aprobada")&gt;0,AND(Resumen!$B$15="La cursada aprobada",COUNTIFS($F$2:$F$25,O6,$Q$2:$Q$25,"Cursada aprobada")&gt;0))),O6&amp;" ","")&amp;IF(NOT(OR(P6="",COUNTIF($F$2:$F$25,P6)=0,COUNTIFS($F$2:$F$25,P6,$Q$2:$Q$25,"Aprobada")&gt;0,AND(Resumen!$B$15="La cursada aprobada",COUNTIFS($F$2:$F$25,P6,$Q$2:$Q$25,"Cursada aprobada")&gt;0))),P6&amp;" ","")),""))</f>
        <v/>
      </c>
    </row>
    <row r="7" customFormat="false" ht="15" hidden="false" customHeight="false" outlineLevel="0" collapsed="false">
      <c r="A7" s="8" t="s">
        <v>240</v>
      </c>
      <c r="B7" s="8"/>
      <c r="C7" s="9" t="n">
        <v>1</v>
      </c>
      <c r="D7" s="9" t="s">
        <v>241</v>
      </c>
      <c r="E7" s="9" t="s">
        <v>67</v>
      </c>
      <c r="F7" s="9" t="n">
        <v>103</v>
      </c>
      <c r="G7" s="8" t="s">
        <v>68</v>
      </c>
      <c r="H7" s="9" t="s">
        <v>61</v>
      </c>
      <c r="I7" s="9" t="n">
        <v>6</v>
      </c>
      <c r="J7" s="9"/>
      <c r="K7" s="9" t="n">
        <v>96</v>
      </c>
      <c r="L7" s="9" t="n">
        <v>291</v>
      </c>
      <c r="M7" s="9" t="n">
        <v>292</v>
      </c>
      <c r="N7" s="9" t="n">
        <v>293</v>
      </c>
      <c r="O7" s="9"/>
      <c r="P7" s="9"/>
      <c r="Q7" s="10" t="s">
        <v>62</v>
      </c>
      <c r="R7" s="9" t="str">
        <f aca="false">IF(Q7="Aprobada","Ya aprobada",IF(Q7="Cursada aprobada","Ya cursada",IF(AND(OR(L7="",COUNTIF($F$2:$F$25,L7)=0,COUNTIFS($F$2:$F$25,L7,$Q$2:$Q$25,"Aprobada")&gt;0,AND(Resumen!$B$15="La cursada aprobada",COUNTIFS($F$2:$F$25,L7,$Q$2:$Q$25,"Cursada aprobada")&gt;0)),OR(M7="",COUNTIF($F$2:$F$25,M7)=0,COUNTIFS($F$2:$F$25,M7,$Q$2:$Q$25,"Aprobada")&gt;0,AND(Resumen!$B$15="La cursada aprobada",COUNTIFS($F$2:$F$25,M7,$Q$2:$Q$25,"Cursada aprobada")&gt;0)),OR(N7="",COUNTIF($F$2:$F$25,N7)=0,COUNTIFS($F$2:$F$25,N7,$Q$2:$Q$25,"Aprobada")&gt;0,AND(Resumen!$B$15="La cursada aprobada",COUNTIFS($F$2:$F$25,N7,$Q$2:$Q$25,"Cursada aprobada")&gt;0)),OR(O7="",COUNTIF($F$2:$F$25,O7)=0,COUNTIFS($F$2:$F$25,O7,$Q$2:$Q$25,"Aprobada")&gt;0,AND(Resumen!$B$15="La cursada aprobada",COUNTIFS($F$2:$F$25,O7,$Q$2:$Q$25,"Cursada aprobada")&gt;0)),OR(P7="",COUNTIF($F$2:$F$25,P7)=0,COUNTIFS($F$2:$F$25,P7,$Q$2:$Q$25,"Aprobada")&gt;0,AND(Resumen!$B$15="La cursada aprobada",COUNTIFS($F$2:$F$25,P7,$Q$2:$Q$25,"Cursada aprobada")&gt;0))),"Sí","No")))</f>
        <v>No</v>
      </c>
      <c r="S7" s="8" t="str">
        <f aca="false">TRIM(IF(NOT(OR(L7="",COUNTIF($F$2:$F$25,L7)=0,COUNTIFS($F$2:$F$25,L7,$Q$2:$Q$25,"Aprobada")&gt;0,AND(Resumen!$B$15="La cursada aprobada",COUNTIFS($F$2:$F$25,L7,$Q$2:$Q$25,"Cursada aprobada")&gt;0))),L7&amp;" ","")&amp;IF(NOT(OR(M7="",COUNTIF($F$2:$F$25,M7)=0,COUNTIFS($F$2:$F$25,M7,$Q$2:$Q$25,"Aprobada")&gt;0,AND(Resumen!$B$15="La cursada aprobada",COUNTIFS($F$2:$F$25,M7,$Q$2:$Q$25,"Cursada aprobada")&gt;0))),M7&amp;" ","")&amp;IF(NOT(OR(N7="",COUNTIF($F$2:$F$25,N7)=0,COUNTIFS($F$2:$F$25,N7,$Q$2:$Q$25,"Aprobada")&gt;0,AND(Resumen!$B$15="La cursada aprobada",COUNTIFS($F$2:$F$25,N7,$Q$2:$Q$25,"Cursada aprobada")&gt;0))),N7&amp;" ","")&amp;IF(NOT(OR(O7="",COUNTIF($F$2:$F$25,O7)=0,COUNTIFS($F$2:$F$25,O7,$Q$2:$Q$25,"Aprobada")&gt;0,AND(Resumen!$B$15="La cursada aprobada",COUNTIFS($F$2:$F$25,O7,$Q$2:$Q$25,"Cursada aprobada")&gt;0))),O7&amp;" ","")&amp;IF(NOT(OR(P7="",COUNTIF($F$2:$F$25,P7)=0,COUNTIFS($F$2:$F$25,P7,$Q$2:$Q$25,"Aprobada")&gt;0,AND(Resumen!$B$15="La cursada aprobada",COUNTIFS($F$2:$F$25,P7,$Q$2:$Q$25,"Cursada aprobada")&gt;0))),P7&amp;" ",""))</f>
        <v>291 292 293</v>
      </c>
      <c r="T7" s="9" t="str">
        <f aca="false">IF(Q7="Cursada aprobada",IF(AND(OR(L7="",COUNTIF($F$2:$F$25,L7)=0,COUNTIFS($F$2:$F$25,L7,$Q$2:$Q$25,"Aprobada")&gt;0),OR(M7="",COUNTIF($F$2:$F$25,M7)=0,COUNTIFS($F$2:$F$25,M7,$Q$2:$Q$25,"Aprobada")&gt;0),OR(N7="",COUNTIF($F$2:$F$25,N7)=0,COUNTIFS($F$2:$F$25,N7,$Q$2:$Q$25,"Aprobada")&gt;0),OR(O7="",COUNTIF($F$2:$F$25,O7)=0,COUNTIFS($F$2:$F$25,O7,$Q$2:$Q$25,"Aprobada")&gt;0),OR(P7="",COUNTIF($F$2:$F$25,P7)=0,COUNTIFS($F$2:$F$25,P7,$Q$2:$Q$25,"Aprobada")&gt;0)),"Sí","No"),"")</f>
        <v/>
      </c>
      <c r="U7" s="9" t="str">
        <f aca="false">IF(Q7="Aprobada",TRIM(IF(NOT(OR(L7="",COUNTIF($F$2:$F$25,L7)=0,COUNTIFS($F$2:$F$25,L7,$Q$2:$Q$25,"Aprobada")&gt;0)),L7&amp;" ","")&amp;IF(NOT(OR(M7="",COUNTIF($F$2:$F$25,M7)=0,COUNTIFS($F$2:$F$25,M7,$Q$2:$Q$25,"Aprobada")&gt;0)),M7&amp;" ","")&amp;IF(NOT(OR(N7="",COUNTIF($F$2:$F$25,N7)=0,COUNTIFS($F$2:$F$25,N7,$Q$2:$Q$25,"Aprobada")&gt;0)),N7&amp;" ","")&amp;IF(NOT(OR(O7="",COUNTIF($F$2:$F$25,O7)=0,COUNTIFS($F$2:$F$25,O7,$Q$2:$Q$25,"Aprobada")&gt;0)),O7&amp;" ","")&amp;IF(NOT(OR(P7="",COUNTIF($F$2:$F$25,P7)=0,COUNTIFS($F$2:$F$25,P7,$Q$2:$Q$25,"Aprobada")&gt;0)),P7&amp;" ","")),IF(Q7="Cursada aprobada",TRIM(IF(NOT(OR(L7="",COUNTIF($F$2:$F$25,L7)=0,COUNTIFS($F$2:$F$25,L7,$Q$2:$Q$25,"Aprobada")&gt;0,AND(Resumen!$B$15="La cursada aprobada",COUNTIFS($F$2:$F$25,L7,$Q$2:$Q$25,"Cursada aprobada")&gt;0))),L7&amp;" ","")&amp;IF(NOT(OR(M7="",COUNTIF($F$2:$F$25,M7)=0,COUNTIFS($F$2:$F$25,M7,$Q$2:$Q$25,"Aprobada")&gt;0,AND(Resumen!$B$15="La cursada aprobada",COUNTIFS($F$2:$F$25,M7,$Q$2:$Q$25,"Cursada aprobada")&gt;0))),M7&amp;" ","")&amp;IF(NOT(OR(N7="",COUNTIF($F$2:$F$25,N7)=0,COUNTIFS($F$2:$F$25,N7,$Q$2:$Q$25,"Aprobada")&gt;0,AND(Resumen!$B$15="La cursada aprobada",COUNTIFS($F$2:$F$25,N7,$Q$2:$Q$25,"Cursada aprobada")&gt;0))),N7&amp;" ","")&amp;IF(NOT(OR(O7="",COUNTIF($F$2:$F$25,O7)=0,COUNTIFS($F$2:$F$25,O7,$Q$2:$Q$25,"Aprobada")&gt;0,AND(Resumen!$B$15="La cursada aprobada",COUNTIFS($F$2:$F$25,O7,$Q$2:$Q$25,"Cursada aprobada")&gt;0))),O7&amp;" ","")&amp;IF(NOT(OR(P7="",COUNTIF($F$2:$F$25,P7)=0,COUNTIFS($F$2:$F$25,P7,$Q$2:$Q$25,"Aprobada")&gt;0,AND(Resumen!$B$15="La cursada aprobada",COUNTIFS($F$2:$F$25,P7,$Q$2:$Q$25,"Cursada aprobada")&gt;0))),P7&amp;" ","")),""))</f>
        <v/>
      </c>
    </row>
    <row r="8" customFormat="false" ht="15" hidden="false" customHeight="false" outlineLevel="0" collapsed="false">
      <c r="A8" s="8" t="s">
        <v>240</v>
      </c>
      <c r="B8" s="8"/>
      <c r="C8" s="9" t="n">
        <v>1</v>
      </c>
      <c r="D8" s="9" t="s">
        <v>243</v>
      </c>
      <c r="E8" s="9" t="s">
        <v>63</v>
      </c>
      <c r="F8" s="9" t="n">
        <v>104</v>
      </c>
      <c r="G8" s="8" t="s">
        <v>64</v>
      </c>
      <c r="H8" s="9" t="s">
        <v>61</v>
      </c>
      <c r="I8" s="9" t="n">
        <v>6</v>
      </c>
      <c r="J8" s="9"/>
      <c r="K8" s="9" t="n">
        <v>96</v>
      </c>
      <c r="L8" s="9" t="n">
        <v>291</v>
      </c>
      <c r="M8" s="9" t="n">
        <v>292</v>
      </c>
      <c r="N8" s="9" t="n">
        <v>293</v>
      </c>
      <c r="O8" s="9"/>
      <c r="P8" s="9"/>
      <c r="Q8" s="10" t="s">
        <v>62</v>
      </c>
      <c r="R8" s="9" t="str">
        <f aca="false">IF(Q8="Aprobada","Ya aprobada",IF(Q8="Cursada aprobada","Ya cursada",IF(AND(OR(L8="",COUNTIF($F$2:$F$25,L8)=0,COUNTIFS($F$2:$F$25,L8,$Q$2:$Q$25,"Aprobada")&gt;0,AND(Resumen!$B$15="La cursada aprobada",COUNTIFS($F$2:$F$25,L8,$Q$2:$Q$25,"Cursada aprobada")&gt;0)),OR(M8="",COUNTIF($F$2:$F$25,M8)=0,COUNTIFS($F$2:$F$25,M8,$Q$2:$Q$25,"Aprobada")&gt;0,AND(Resumen!$B$15="La cursada aprobada",COUNTIFS($F$2:$F$25,M8,$Q$2:$Q$25,"Cursada aprobada")&gt;0)),OR(N8="",COUNTIF($F$2:$F$25,N8)=0,COUNTIFS($F$2:$F$25,N8,$Q$2:$Q$25,"Aprobada")&gt;0,AND(Resumen!$B$15="La cursada aprobada",COUNTIFS($F$2:$F$25,N8,$Q$2:$Q$25,"Cursada aprobada")&gt;0)),OR(O8="",COUNTIF($F$2:$F$25,O8)=0,COUNTIFS($F$2:$F$25,O8,$Q$2:$Q$25,"Aprobada")&gt;0,AND(Resumen!$B$15="La cursada aprobada",COUNTIFS($F$2:$F$25,O8,$Q$2:$Q$25,"Cursada aprobada")&gt;0)),OR(P8="",COUNTIF($F$2:$F$25,P8)=0,COUNTIFS($F$2:$F$25,P8,$Q$2:$Q$25,"Aprobada")&gt;0,AND(Resumen!$B$15="La cursada aprobada",COUNTIFS($F$2:$F$25,P8,$Q$2:$Q$25,"Cursada aprobada")&gt;0))),"Sí","No")))</f>
        <v>No</v>
      </c>
      <c r="S8" s="8" t="str">
        <f aca="false">TRIM(IF(NOT(OR(L8="",COUNTIF($F$2:$F$25,L8)=0,COUNTIFS($F$2:$F$25,L8,$Q$2:$Q$25,"Aprobada")&gt;0,AND(Resumen!$B$15="La cursada aprobada",COUNTIFS($F$2:$F$25,L8,$Q$2:$Q$25,"Cursada aprobada")&gt;0))),L8&amp;" ","")&amp;IF(NOT(OR(M8="",COUNTIF($F$2:$F$25,M8)=0,COUNTIFS($F$2:$F$25,M8,$Q$2:$Q$25,"Aprobada")&gt;0,AND(Resumen!$B$15="La cursada aprobada",COUNTIFS($F$2:$F$25,M8,$Q$2:$Q$25,"Cursada aprobada")&gt;0))),M8&amp;" ","")&amp;IF(NOT(OR(N8="",COUNTIF($F$2:$F$25,N8)=0,COUNTIFS($F$2:$F$25,N8,$Q$2:$Q$25,"Aprobada")&gt;0,AND(Resumen!$B$15="La cursada aprobada",COUNTIFS($F$2:$F$25,N8,$Q$2:$Q$25,"Cursada aprobada")&gt;0))),N8&amp;" ","")&amp;IF(NOT(OR(O8="",COUNTIF($F$2:$F$25,O8)=0,COUNTIFS($F$2:$F$25,O8,$Q$2:$Q$25,"Aprobada")&gt;0,AND(Resumen!$B$15="La cursada aprobada",COUNTIFS($F$2:$F$25,O8,$Q$2:$Q$25,"Cursada aprobada")&gt;0))),O8&amp;" ","")&amp;IF(NOT(OR(P8="",COUNTIF($F$2:$F$25,P8)=0,COUNTIFS($F$2:$F$25,P8,$Q$2:$Q$25,"Aprobada")&gt;0,AND(Resumen!$B$15="La cursada aprobada",COUNTIFS($F$2:$F$25,P8,$Q$2:$Q$25,"Cursada aprobada")&gt;0))),P8&amp;" ",""))</f>
        <v>291 292 293</v>
      </c>
      <c r="T8" s="9" t="str">
        <f aca="false">IF(Q8="Cursada aprobada",IF(AND(OR(L8="",COUNTIF($F$2:$F$25,L8)=0,COUNTIFS($F$2:$F$25,L8,$Q$2:$Q$25,"Aprobada")&gt;0),OR(M8="",COUNTIF($F$2:$F$25,M8)=0,COUNTIFS($F$2:$F$25,M8,$Q$2:$Q$25,"Aprobada")&gt;0),OR(N8="",COUNTIF($F$2:$F$25,N8)=0,COUNTIFS($F$2:$F$25,N8,$Q$2:$Q$25,"Aprobada")&gt;0),OR(O8="",COUNTIF($F$2:$F$25,O8)=0,COUNTIFS($F$2:$F$25,O8,$Q$2:$Q$25,"Aprobada")&gt;0),OR(P8="",COUNTIF($F$2:$F$25,P8)=0,COUNTIFS($F$2:$F$25,P8,$Q$2:$Q$25,"Aprobada")&gt;0)),"Sí","No"),"")</f>
        <v/>
      </c>
      <c r="U8" s="9" t="str">
        <f aca="false">IF(Q8="Aprobada",TRIM(IF(NOT(OR(L8="",COUNTIF($F$2:$F$25,L8)=0,COUNTIFS($F$2:$F$25,L8,$Q$2:$Q$25,"Aprobada")&gt;0)),L8&amp;" ","")&amp;IF(NOT(OR(M8="",COUNTIF($F$2:$F$25,M8)=0,COUNTIFS($F$2:$F$25,M8,$Q$2:$Q$25,"Aprobada")&gt;0)),M8&amp;" ","")&amp;IF(NOT(OR(N8="",COUNTIF($F$2:$F$25,N8)=0,COUNTIFS($F$2:$F$25,N8,$Q$2:$Q$25,"Aprobada")&gt;0)),N8&amp;" ","")&amp;IF(NOT(OR(O8="",COUNTIF($F$2:$F$25,O8)=0,COUNTIFS($F$2:$F$25,O8,$Q$2:$Q$25,"Aprobada")&gt;0)),O8&amp;" ","")&amp;IF(NOT(OR(P8="",COUNTIF($F$2:$F$25,P8)=0,COUNTIFS($F$2:$F$25,P8,$Q$2:$Q$25,"Aprobada")&gt;0)),P8&amp;" ","")),IF(Q8="Cursada aprobada",TRIM(IF(NOT(OR(L8="",COUNTIF($F$2:$F$25,L8)=0,COUNTIFS($F$2:$F$25,L8,$Q$2:$Q$25,"Aprobada")&gt;0,AND(Resumen!$B$15="La cursada aprobada",COUNTIFS($F$2:$F$25,L8,$Q$2:$Q$25,"Cursada aprobada")&gt;0))),L8&amp;" ","")&amp;IF(NOT(OR(M8="",COUNTIF($F$2:$F$25,M8)=0,COUNTIFS($F$2:$F$25,M8,$Q$2:$Q$25,"Aprobada")&gt;0,AND(Resumen!$B$15="La cursada aprobada",COUNTIFS($F$2:$F$25,M8,$Q$2:$Q$25,"Cursada aprobada")&gt;0))),M8&amp;" ","")&amp;IF(NOT(OR(N8="",COUNTIF($F$2:$F$25,N8)=0,COUNTIFS($F$2:$F$25,N8,$Q$2:$Q$25,"Aprobada")&gt;0,AND(Resumen!$B$15="La cursada aprobada",COUNTIFS($F$2:$F$25,N8,$Q$2:$Q$25,"Cursada aprobada")&gt;0))),N8&amp;" ","")&amp;IF(NOT(OR(O8="",COUNTIF($F$2:$F$25,O8)=0,COUNTIFS($F$2:$F$25,O8,$Q$2:$Q$25,"Aprobada")&gt;0,AND(Resumen!$B$15="La cursada aprobada",COUNTIFS($F$2:$F$25,O8,$Q$2:$Q$25,"Cursada aprobada")&gt;0))),O8&amp;" ","")&amp;IF(NOT(OR(P8="",COUNTIF($F$2:$F$25,P8)=0,COUNTIFS($F$2:$F$25,P8,$Q$2:$Q$25,"Aprobada")&gt;0,AND(Resumen!$B$15="La cursada aprobada",COUNTIFS($F$2:$F$25,P8,$Q$2:$Q$25,"Cursada aprobada")&gt;0))),P8&amp;" ","")),""))</f>
        <v/>
      </c>
    </row>
    <row r="9" customFormat="false" ht="15" hidden="false" customHeight="false" outlineLevel="0" collapsed="false">
      <c r="A9" s="8" t="s">
        <v>240</v>
      </c>
      <c r="B9" s="8"/>
      <c r="C9" s="9" t="n">
        <v>1</v>
      </c>
      <c r="D9" s="9" t="s">
        <v>243</v>
      </c>
      <c r="E9" s="9" t="s">
        <v>77</v>
      </c>
      <c r="F9" s="9" t="n">
        <v>340</v>
      </c>
      <c r="G9" s="8" t="s">
        <v>87</v>
      </c>
      <c r="H9" s="9" t="s">
        <v>71</v>
      </c>
      <c r="I9" s="9" t="n">
        <v>4</v>
      </c>
      <c r="J9" s="9"/>
      <c r="K9" s="9" t="n">
        <v>64</v>
      </c>
      <c r="L9" s="9" t="n">
        <v>1123</v>
      </c>
      <c r="M9" s="9"/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cursada",IF(AND(OR(L9="",COUNTIF($F$2:$F$25,L9)=0,COUNTIFS($F$2:$F$25,L9,$Q$2:$Q$25,"Aprobada")&gt;0,AND(Resumen!$B$15="La cursada aprobada",COUNTIFS($F$2:$F$25,L9,$Q$2:$Q$25,"Cursada aprobada")&gt;0)),OR(M9="",COUNTIF($F$2:$F$25,M9)=0,COUNTIFS($F$2:$F$25,M9,$Q$2:$Q$25,"Aprobada")&gt;0,AND(Resumen!$B$15="La cursada aprobada",COUNTIFS($F$2:$F$25,M9,$Q$2:$Q$25,"Cursada aprobada")&gt;0)),OR(N9="",COUNTIF($F$2:$F$25,N9)=0,COUNTIFS($F$2:$F$25,N9,$Q$2:$Q$25,"Aprobada")&gt;0,AND(Resumen!$B$15="La cursada aprobada",COUNTIFS($F$2:$F$25,N9,$Q$2:$Q$25,"Cursada aprobada")&gt;0)),OR(O9="",COUNTIF($F$2:$F$25,O9)=0,COUNTIFS($F$2:$F$25,O9,$Q$2:$Q$25,"Aprobada")&gt;0,AND(Resumen!$B$15="La cursada aprobada",COUNTIFS($F$2:$F$25,O9,$Q$2:$Q$25,"Cursada aprobada")&gt;0)),OR(P9="",COUNTIF($F$2:$F$25,P9)=0,COUNTIFS($F$2:$F$25,P9,$Q$2:$Q$25,"Aprobada")&gt;0,AND(Resumen!$B$15="La cursada aprobada",COUNTIFS($F$2:$F$25,P9,$Q$2:$Q$25,"Cursada aprobada")&gt;0))),"Sí","No")))</f>
        <v>No</v>
      </c>
      <c r="S9" s="8" t="str">
        <f aca="false">TRIM(IF(NOT(OR(L9="",COUNTIF($F$2:$F$25,L9)=0,COUNTIFS($F$2:$F$25,L9,$Q$2:$Q$25,"Aprobada")&gt;0,AND(Resumen!$B$15="La cursada aprobada",COUNTIFS($F$2:$F$25,L9,$Q$2:$Q$25,"Cursada aprobada")&gt;0))),L9&amp;" ","")&amp;IF(NOT(OR(M9="",COUNTIF($F$2:$F$25,M9)=0,COUNTIFS($F$2:$F$25,M9,$Q$2:$Q$25,"Aprobada")&gt;0,AND(Resumen!$B$15="La cursada aprobada",COUNTIFS($F$2:$F$25,M9,$Q$2:$Q$25,"Cursada aprobada")&gt;0))),M9&amp;" ","")&amp;IF(NOT(OR(N9="",COUNTIF($F$2:$F$25,N9)=0,COUNTIFS($F$2:$F$25,N9,$Q$2:$Q$25,"Aprobada")&gt;0,AND(Resumen!$B$15="La cursada aprobada",COUNTIFS($F$2:$F$25,N9,$Q$2:$Q$25,"Cursada aprobada")&gt;0))),N9&amp;" ","")&amp;IF(NOT(OR(O9="",COUNTIF($F$2:$F$25,O9)=0,COUNTIFS($F$2:$F$25,O9,$Q$2:$Q$25,"Aprobada")&gt;0,AND(Resumen!$B$15="La cursada aprobada",COUNTIFS($F$2:$F$25,O9,$Q$2:$Q$25,"Cursada aprobada")&gt;0))),O9&amp;" ","")&amp;IF(NOT(OR(P9="",COUNTIF($F$2:$F$25,P9)=0,COUNTIFS($F$2:$F$25,P9,$Q$2:$Q$25,"Aprobada")&gt;0,AND(Resumen!$B$15="La cursada aprobada",COUNTIFS($F$2:$F$25,P9,$Q$2:$Q$25,"Cursada aprobada")&gt;0))),P9&amp;" ",""))</f>
        <v>1123</v>
      </c>
      <c r="T9" s="9" t="str">
        <f aca="false">IF(Q9="Cursada aprobada",IF(AND(OR(L9="",COUNTIF($F$2:$F$25,L9)=0,COUNTIFS($F$2:$F$25,L9,$Q$2:$Q$25,"Aprobada")&gt;0),OR(M9="",COUNTIF($F$2:$F$25,M9)=0,COUNTIFS($F$2:$F$25,M9,$Q$2:$Q$25,"Aprobada")&gt;0),OR(N9="",COUNTIF($F$2:$F$25,N9)=0,COUNTIFS($F$2:$F$25,N9,$Q$2:$Q$25,"Aprobada")&gt;0),OR(O9="",COUNTIF($F$2:$F$25,O9)=0,COUNTIFS($F$2:$F$25,O9,$Q$2:$Q$25,"Aprobada")&gt;0),OR(P9="",COUNTIF($F$2:$F$25,P9)=0,COUNTIFS($F$2:$F$25,P9,$Q$2:$Q$25,"Aprobada")&gt;0)),"Sí","No"),"")</f>
        <v/>
      </c>
      <c r="U9" s="9" t="str">
        <f aca="false">IF(Q9="Aprobada",TRIM(IF(NOT(OR(L9="",COUNTIF($F$2:$F$25,L9)=0,COUNTIFS($F$2:$F$25,L9,$Q$2:$Q$25,"Aprobada")&gt;0)),L9&amp;" ","")&amp;IF(NOT(OR(M9="",COUNTIF($F$2:$F$25,M9)=0,COUNTIFS($F$2:$F$25,M9,$Q$2:$Q$25,"Aprobada")&gt;0)),M9&amp;" ","")&amp;IF(NOT(OR(N9="",COUNTIF($F$2:$F$25,N9)=0,COUNTIFS($F$2:$F$25,N9,$Q$2:$Q$25,"Aprobada")&gt;0)),N9&amp;" ","")&amp;IF(NOT(OR(O9="",COUNTIF($F$2:$F$25,O9)=0,COUNTIFS($F$2:$F$25,O9,$Q$2:$Q$25,"Aprobada")&gt;0)),O9&amp;" ","")&amp;IF(NOT(OR(P9="",COUNTIF($F$2:$F$25,P9)=0,COUNTIFS($F$2:$F$25,P9,$Q$2:$Q$25,"Aprobada")&gt;0)),P9&amp;" ","")),IF(Q9="Cursada aprobada",TRIM(IF(NOT(OR(L9="",COUNTIF($F$2:$F$25,L9)=0,COUNTIFS($F$2:$F$25,L9,$Q$2:$Q$25,"Aprobada")&gt;0,AND(Resumen!$B$15="La cursada aprobada",COUNTIFS($F$2:$F$25,L9,$Q$2:$Q$25,"Cursada aprobada")&gt;0))),L9&amp;" ","")&amp;IF(NOT(OR(M9="",COUNTIF($F$2:$F$25,M9)=0,COUNTIFS($F$2:$F$25,M9,$Q$2:$Q$25,"Aprobada")&gt;0,AND(Resumen!$B$15="La cursada aprobada",COUNTIFS($F$2:$F$25,M9,$Q$2:$Q$25,"Cursada aprobada")&gt;0))),M9&amp;" ","")&amp;IF(NOT(OR(N9="",COUNTIF($F$2:$F$25,N9)=0,COUNTIFS($F$2:$F$25,N9,$Q$2:$Q$25,"Aprobada")&gt;0,AND(Resumen!$B$15="La cursada aprobada",COUNTIFS($F$2:$F$25,N9,$Q$2:$Q$25,"Cursada aprobada")&gt;0))),N9&amp;" ","")&amp;IF(NOT(OR(O9="",COUNTIF($F$2:$F$25,O9)=0,COUNTIFS($F$2:$F$25,O9,$Q$2:$Q$25,"Aprobada")&gt;0,AND(Resumen!$B$15="La cursada aprobada",COUNTIFS($F$2:$F$25,O9,$Q$2:$Q$25,"Cursada aprobada")&gt;0))),O9&amp;" ","")&amp;IF(NOT(OR(P9="",COUNTIF($F$2:$F$25,P9)=0,COUNTIFS($F$2:$F$25,P9,$Q$2:$Q$25,"Aprobada")&gt;0,AND(Resumen!$B$15="La cursada aprobada",COUNTIFS($F$2:$F$25,P9,$Q$2:$Q$25,"Cursada aprobada")&gt;0))),P9&amp;" ","")),""))</f>
        <v/>
      </c>
    </row>
    <row r="10" customFormat="false" ht="15" hidden="false" customHeight="false" outlineLevel="0" collapsed="false">
      <c r="A10" s="8" t="s">
        <v>240</v>
      </c>
      <c r="B10" s="8"/>
      <c r="C10" s="9" t="n">
        <v>1</v>
      </c>
      <c r="D10" s="9" t="s">
        <v>243</v>
      </c>
      <c r="E10" s="9" t="s">
        <v>65</v>
      </c>
      <c r="F10" s="9" t="n">
        <v>114</v>
      </c>
      <c r="G10" s="8" t="s">
        <v>176</v>
      </c>
      <c r="H10" s="9" t="s">
        <v>61</v>
      </c>
      <c r="I10" s="9" t="n">
        <v>6</v>
      </c>
      <c r="J10" s="9"/>
      <c r="K10" s="9" t="n">
        <v>96</v>
      </c>
      <c r="L10" s="9" t="n">
        <v>291</v>
      </c>
      <c r="M10" s="9" t="n">
        <v>292</v>
      </c>
      <c r="N10" s="9" t="n">
        <v>293</v>
      </c>
      <c r="O10" s="9"/>
      <c r="P10" s="9"/>
      <c r="Q10" s="10" t="s">
        <v>62</v>
      </c>
      <c r="R10" s="9" t="str">
        <f aca="false">IF(Q10="Aprobada","Ya aprobada",IF(Q10="Cursada aprobada","Ya cursada",IF(AND(OR(L10="",COUNTIF($F$2:$F$25,L10)=0,COUNTIFS($F$2:$F$25,L10,$Q$2:$Q$25,"Aprobada")&gt;0,AND(Resumen!$B$15="La cursada aprobada",COUNTIFS($F$2:$F$25,L10,$Q$2:$Q$25,"Cursada aprobada")&gt;0)),OR(M10="",COUNTIF($F$2:$F$25,M10)=0,COUNTIFS($F$2:$F$25,M10,$Q$2:$Q$25,"Aprobada")&gt;0,AND(Resumen!$B$15="La cursada aprobada",COUNTIFS($F$2:$F$25,M10,$Q$2:$Q$25,"Cursada aprobada")&gt;0)),OR(N10="",COUNTIF($F$2:$F$25,N10)=0,COUNTIFS($F$2:$F$25,N10,$Q$2:$Q$25,"Aprobada")&gt;0,AND(Resumen!$B$15="La cursada aprobada",COUNTIFS($F$2:$F$25,N10,$Q$2:$Q$25,"Cursada aprobada")&gt;0)),OR(O10="",COUNTIF($F$2:$F$25,O10)=0,COUNTIFS($F$2:$F$25,O10,$Q$2:$Q$25,"Aprobada")&gt;0,AND(Resumen!$B$15="La cursada aprobada",COUNTIFS($F$2:$F$25,O10,$Q$2:$Q$25,"Cursada aprobada")&gt;0)),OR(P10="",COUNTIF($F$2:$F$25,P10)=0,COUNTIFS($F$2:$F$25,P10,$Q$2:$Q$25,"Aprobada")&gt;0,AND(Resumen!$B$15="La cursada aprobada",COUNTIFS($F$2:$F$25,P10,$Q$2:$Q$25,"Cursada aprobada")&gt;0))),"Sí","No")))</f>
        <v>No</v>
      </c>
      <c r="S10" s="8" t="str">
        <f aca="false">TRIM(IF(NOT(OR(L10="",COUNTIF($F$2:$F$25,L10)=0,COUNTIFS($F$2:$F$25,L10,$Q$2:$Q$25,"Aprobada")&gt;0,AND(Resumen!$B$15="La cursada aprobada",COUNTIFS($F$2:$F$25,L10,$Q$2:$Q$25,"Cursada aprobada")&gt;0))),L10&amp;" ","")&amp;IF(NOT(OR(M10="",COUNTIF($F$2:$F$25,M10)=0,COUNTIFS($F$2:$F$25,M10,$Q$2:$Q$25,"Aprobada")&gt;0,AND(Resumen!$B$15="La cursada aprobada",COUNTIFS($F$2:$F$25,M10,$Q$2:$Q$25,"Cursada aprobada")&gt;0))),M10&amp;" ","")&amp;IF(NOT(OR(N10="",COUNTIF($F$2:$F$25,N10)=0,COUNTIFS($F$2:$F$25,N10,$Q$2:$Q$25,"Aprobada")&gt;0,AND(Resumen!$B$15="La cursada aprobada",COUNTIFS($F$2:$F$25,N10,$Q$2:$Q$25,"Cursada aprobada")&gt;0))),N10&amp;" ","")&amp;IF(NOT(OR(O10="",COUNTIF($F$2:$F$25,O10)=0,COUNTIFS($F$2:$F$25,O10,$Q$2:$Q$25,"Aprobada")&gt;0,AND(Resumen!$B$15="La cursada aprobada",COUNTIFS($F$2:$F$25,O10,$Q$2:$Q$25,"Cursada aprobada")&gt;0))),O10&amp;" ","")&amp;IF(NOT(OR(P10="",COUNTIF($F$2:$F$25,P10)=0,COUNTIFS($F$2:$F$25,P10,$Q$2:$Q$25,"Aprobada")&gt;0,AND(Resumen!$B$15="La cursada aprobada",COUNTIFS($F$2:$F$25,P10,$Q$2:$Q$25,"Cursada aprobada")&gt;0))),P10&amp;" ",""))</f>
        <v>291 292 293</v>
      </c>
      <c r="T10" s="9" t="str">
        <f aca="false">IF(Q10="Cursada aprobada",IF(AND(OR(L10="",COUNTIF($F$2:$F$25,L10)=0,COUNTIFS($F$2:$F$25,L10,$Q$2:$Q$25,"Aprobada")&gt;0),OR(M10="",COUNTIF($F$2:$F$25,M10)=0,COUNTIFS($F$2:$F$25,M10,$Q$2:$Q$25,"Aprobada")&gt;0),OR(N10="",COUNTIF($F$2:$F$25,N10)=0,COUNTIFS($F$2:$F$25,N10,$Q$2:$Q$25,"Aprobada")&gt;0),OR(O10="",COUNTIF($F$2:$F$25,O10)=0,COUNTIFS($F$2:$F$25,O10,$Q$2:$Q$25,"Aprobada")&gt;0),OR(P10="",COUNTIF($F$2:$F$25,P10)=0,COUNTIFS($F$2:$F$25,P10,$Q$2:$Q$25,"Aprobada")&gt;0)),"Sí","No"),"")</f>
        <v/>
      </c>
      <c r="U10" s="9" t="str">
        <f aca="false">IF(Q10="Aprobada",TRIM(IF(NOT(OR(L10="",COUNTIF($F$2:$F$25,L10)=0,COUNTIFS($F$2:$F$25,L10,$Q$2:$Q$25,"Aprobada")&gt;0)),L10&amp;" ","")&amp;IF(NOT(OR(M10="",COUNTIF($F$2:$F$25,M10)=0,COUNTIFS($F$2:$F$25,M10,$Q$2:$Q$25,"Aprobada")&gt;0)),M10&amp;" ","")&amp;IF(NOT(OR(N10="",COUNTIF($F$2:$F$25,N10)=0,COUNTIFS($F$2:$F$25,N10,$Q$2:$Q$25,"Aprobada")&gt;0)),N10&amp;" ","")&amp;IF(NOT(OR(O10="",COUNTIF($F$2:$F$25,O10)=0,COUNTIFS($F$2:$F$25,O10,$Q$2:$Q$25,"Aprobada")&gt;0)),O10&amp;" ","")&amp;IF(NOT(OR(P10="",COUNTIF($F$2:$F$25,P10)=0,COUNTIFS($F$2:$F$25,P10,$Q$2:$Q$25,"Aprobada")&gt;0)),P10&amp;" ","")),IF(Q10="Cursada aprobada",TRIM(IF(NOT(OR(L10="",COUNTIF($F$2:$F$25,L10)=0,COUNTIFS($F$2:$F$25,L10,$Q$2:$Q$25,"Aprobada")&gt;0,AND(Resumen!$B$15="La cursada aprobada",COUNTIFS($F$2:$F$25,L10,$Q$2:$Q$25,"Cursada aprobada")&gt;0))),L10&amp;" ","")&amp;IF(NOT(OR(M10="",COUNTIF($F$2:$F$25,M10)=0,COUNTIFS($F$2:$F$25,M10,$Q$2:$Q$25,"Aprobada")&gt;0,AND(Resumen!$B$15="La cursada aprobada",COUNTIFS($F$2:$F$25,M10,$Q$2:$Q$25,"Cursada aprobada")&gt;0))),M10&amp;" ","")&amp;IF(NOT(OR(N10="",COUNTIF($F$2:$F$25,N10)=0,COUNTIFS($F$2:$F$25,N10,$Q$2:$Q$25,"Aprobada")&gt;0,AND(Resumen!$B$15="La cursada aprobada",COUNTIFS($F$2:$F$25,N10,$Q$2:$Q$25,"Cursada aprobada")&gt;0))),N10&amp;" ","")&amp;IF(NOT(OR(O10="",COUNTIF($F$2:$F$25,O10)=0,COUNTIFS($F$2:$F$25,O10,$Q$2:$Q$25,"Aprobada")&gt;0,AND(Resumen!$B$15="La cursada aprobada",COUNTIFS($F$2:$F$25,O10,$Q$2:$Q$25,"Cursada aprobada")&gt;0))),O10&amp;" ","")&amp;IF(NOT(OR(P10="",COUNTIF($F$2:$F$25,P10)=0,COUNTIFS($F$2:$F$25,P10,$Q$2:$Q$25,"Aprobada")&gt;0,AND(Resumen!$B$15="La cursada aprobada",COUNTIFS($F$2:$F$25,P10,$Q$2:$Q$25,"Cursada aprobada")&gt;0))),P10&amp;" ","")),""))</f>
        <v/>
      </c>
    </row>
    <row r="11" customFormat="false" ht="15" hidden="false" customHeight="false" outlineLevel="0" collapsed="false">
      <c r="A11" s="8" t="s">
        <v>240</v>
      </c>
      <c r="B11" s="8"/>
      <c r="C11" s="9" t="n">
        <v>2</v>
      </c>
      <c r="D11" s="9" t="s">
        <v>241</v>
      </c>
      <c r="E11" s="9" t="s">
        <v>63</v>
      </c>
      <c r="F11" s="9" t="n">
        <v>3001</v>
      </c>
      <c r="G11" s="8" t="s">
        <v>244</v>
      </c>
      <c r="H11" s="9" t="s">
        <v>61</v>
      </c>
      <c r="I11" s="9" t="n">
        <v>6</v>
      </c>
      <c r="J11" s="9"/>
      <c r="K11" s="9" t="n">
        <v>96</v>
      </c>
      <c r="L11" s="9" t="n">
        <v>104</v>
      </c>
      <c r="M11" s="9" t="n">
        <v>103</v>
      </c>
      <c r="N11" s="9" t="n">
        <v>300</v>
      </c>
      <c r="O11" s="9"/>
      <c r="P11" s="9"/>
      <c r="Q11" s="10" t="s">
        <v>62</v>
      </c>
      <c r="R11" s="9" t="str">
        <f aca="false">IF(Q11="Aprobada","Ya aprobada",IF(Q11="Cursada aprobada","Ya cursada",IF(AND(OR(L11="",COUNTIF($F$2:$F$25,L11)=0,COUNTIFS($F$2:$F$25,L11,$Q$2:$Q$25,"Aprobada")&gt;0,AND(Resumen!$B$15="La cursada aprobada",COUNTIFS($F$2:$F$25,L11,$Q$2:$Q$25,"Cursada aprobada")&gt;0)),OR(M11="",COUNTIF($F$2:$F$25,M11)=0,COUNTIFS($F$2:$F$25,M11,$Q$2:$Q$25,"Aprobada")&gt;0,AND(Resumen!$B$15="La cursada aprobada",COUNTIFS($F$2:$F$25,M11,$Q$2:$Q$25,"Cursada aprobada")&gt;0)),OR(N11="",COUNTIF($F$2:$F$25,N11)=0,COUNTIFS($F$2:$F$25,N11,$Q$2:$Q$25,"Aprobada")&gt;0,AND(Resumen!$B$15="La cursada aprobada",COUNTIFS($F$2:$F$25,N11,$Q$2:$Q$25,"Cursada aprobada")&gt;0)),OR(O11="",COUNTIF($F$2:$F$25,O11)=0,COUNTIFS($F$2:$F$25,O11,$Q$2:$Q$25,"Aprobada")&gt;0,AND(Resumen!$B$15="La cursada aprobada",COUNTIFS($F$2:$F$25,O11,$Q$2:$Q$25,"Cursada aprobada")&gt;0)),OR(P11="",COUNTIF($F$2:$F$25,P11)=0,COUNTIFS($F$2:$F$25,P11,$Q$2:$Q$25,"Aprobada")&gt;0,AND(Resumen!$B$15="La cursada aprobada",COUNTIFS($F$2:$F$25,P11,$Q$2:$Q$25,"Cursada aprobada")&gt;0))),"Sí","No")))</f>
        <v>No</v>
      </c>
      <c r="S11" s="8" t="str">
        <f aca="false">TRIM(IF(NOT(OR(L11="",COUNTIF($F$2:$F$25,L11)=0,COUNTIFS($F$2:$F$25,L11,$Q$2:$Q$25,"Aprobada")&gt;0,AND(Resumen!$B$15="La cursada aprobada",COUNTIFS($F$2:$F$25,L11,$Q$2:$Q$25,"Cursada aprobada")&gt;0))),L11&amp;" ","")&amp;IF(NOT(OR(M11="",COUNTIF($F$2:$F$25,M11)=0,COUNTIFS($F$2:$F$25,M11,$Q$2:$Q$25,"Aprobada")&gt;0,AND(Resumen!$B$15="La cursada aprobada",COUNTIFS($F$2:$F$25,M11,$Q$2:$Q$25,"Cursada aprobada")&gt;0))),M11&amp;" ","")&amp;IF(NOT(OR(N11="",COUNTIF($F$2:$F$25,N11)=0,COUNTIFS($F$2:$F$25,N11,$Q$2:$Q$25,"Aprobada")&gt;0,AND(Resumen!$B$15="La cursada aprobada",COUNTIFS($F$2:$F$25,N11,$Q$2:$Q$25,"Cursada aprobada")&gt;0))),N11&amp;" ","")&amp;IF(NOT(OR(O11="",COUNTIF($F$2:$F$25,O11)=0,COUNTIFS($F$2:$F$25,O11,$Q$2:$Q$25,"Aprobada")&gt;0,AND(Resumen!$B$15="La cursada aprobada",COUNTIFS($F$2:$F$25,O11,$Q$2:$Q$25,"Cursada aprobada")&gt;0))),O11&amp;" ","")&amp;IF(NOT(OR(P11="",COUNTIF($F$2:$F$25,P11)=0,COUNTIFS($F$2:$F$25,P11,$Q$2:$Q$25,"Aprobada")&gt;0,AND(Resumen!$B$15="La cursada aprobada",COUNTIFS($F$2:$F$25,P11,$Q$2:$Q$25,"Cursada aprobada")&gt;0))),P11&amp;" ",""))</f>
        <v>104 103 300</v>
      </c>
      <c r="T11" s="9" t="str">
        <f aca="false">IF(Q11="Cursada aprobada",IF(AND(OR(L11="",COUNTIF($F$2:$F$25,L11)=0,COUNTIFS($F$2:$F$25,L11,$Q$2:$Q$25,"Aprobada")&gt;0),OR(M11="",COUNTIF($F$2:$F$25,M11)=0,COUNTIFS($F$2:$F$25,M11,$Q$2:$Q$25,"Aprobada")&gt;0),OR(N11="",COUNTIF($F$2:$F$25,N11)=0,COUNTIFS($F$2:$F$25,N11,$Q$2:$Q$25,"Aprobada")&gt;0),OR(O11="",COUNTIF($F$2:$F$25,O11)=0,COUNTIFS($F$2:$F$25,O11,$Q$2:$Q$25,"Aprobada")&gt;0),OR(P11="",COUNTIF($F$2:$F$25,P11)=0,COUNTIFS($F$2:$F$25,P11,$Q$2:$Q$25,"Aprobada")&gt;0)),"Sí","No"),"")</f>
        <v/>
      </c>
      <c r="U11" s="9" t="str">
        <f aca="false">IF(Q11="Aprobada",TRIM(IF(NOT(OR(L11="",COUNTIF($F$2:$F$25,L11)=0,COUNTIFS($F$2:$F$25,L11,$Q$2:$Q$25,"Aprobada")&gt;0)),L11&amp;" ","")&amp;IF(NOT(OR(M11="",COUNTIF($F$2:$F$25,M11)=0,COUNTIFS($F$2:$F$25,M11,$Q$2:$Q$25,"Aprobada")&gt;0)),M11&amp;" ","")&amp;IF(NOT(OR(N11="",COUNTIF($F$2:$F$25,N11)=0,COUNTIFS($F$2:$F$25,N11,$Q$2:$Q$25,"Aprobada")&gt;0)),N11&amp;" ","")&amp;IF(NOT(OR(O11="",COUNTIF($F$2:$F$25,O11)=0,COUNTIFS($F$2:$F$25,O11,$Q$2:$Q$25,"Aprobada")&gt;0)),O11&amp;" ","")&amp;IF(NOT(OR(P11="",COUNTIF($F$2:$F$25,P11)=0,COUNTIFS($F$2:$F$25,P11,$Q$2:$Q$25,"Aprobada")&gt;0)),P11&amp;" ","")),IF(Q11="Cursada aprobada",TRIM(IF(NOT(OR(L11="",COUNTIF($F$2:$F$25,L11)=0,COUNTIFS($F$2:$F$25,L11,$Q$2:$Q$25,"Aprobada")&gt;0,AND(Resumen!$B$15="La cursada aprobada",COUNTIFS($F$2:$F$25,L11,$Q$2:$Q$25,"Cursada aprobada")&gt;0))),L11&amp;" ","")&amp;IF(NOT(OR(M11="",COUNTIF($F$2:$F$25,M11)=0,COUNTIFS($F$2:$F$25,M11,$Q$2:$Q$25,"Aprobada")&gt;0,AND(Resumen!$B$15="La cursada aprobada",COUNTIFS($F$2:$F$25,M11,$Q$2:$Q$25,"Cursada aprobada")&gt;0))),M11&amp;" ","")&amp;IF(NOT(OR(N11="",COUNTIF($F$2:$F$25,N11)=0,COUNTIFS($F$2:$F$25,N11,$Q$2:$Q$25,"Aprobada")&gt;0,AND(Resumen!$B$15="La cursada aprobada",COUNTIFS($F$2:$F$25,N11,$Q$2:$Q$25,"Cursada aprobada")&gt;0))),N11&amp;" ","")&amp;IF(NOT(OR(O11="",COUNTIF($F$2:$F$25,O11)=0,COUNTIFS($F$2:$F$25,O11,$Q$2:$Q$25,"Aprobada")&gt;0,AND(Resumen!$B$15="La cursada aprobada",COUNTIFS($F$2:$F$25,O11,$Q$2:$Q$25,"Cursada aprobada")&gt;0))),O11&amp;" ","")&amp;IF(NOT(OR(P11="",COUNTIF($F$2:$F$25,P11)=0,COUNTIFS($F$2:$F$25,P11,$Q$2:$Q$25,"Aprobada")&gt;0,AND(Resumen!$B$15="La cursada aprobada",COUNTIFS($F$2:$F$25,P11,$Q$2:$Q$25,"Cursada aprobada")&gt;0))),P11&amp;" ","")),""))</f>
        <v/>
      </c>
    </row>
    <row r="12" customFormat="false" ht="15" hidden="false" customHeight="false" outlineLevel="0" collapsed="false">
      <c r="A12" s="8" t="s">
        <v>240</v>
      </c>
      <c r="B12" s="8"/>
      <c r="C12" s="9" t="n">
        <v>2</v>
      </c>
      <c r="D12" s="9" t="s">
        <v>241</v>
      </c>
      <c r="E12" s="9" t="s">
        <v>77</v>
      </c>
      <c r="F12" s="9" t="n">
        <v>1081</v>
      </c>
      <c r="G12" s="8" t="s">
        <v>245</v>
      </c>
      <c r="H12" s="9" t="s">
        <v>71</v>
      </c>
      <c r="I12" s="9" t="n">
        <v>4</v>
      </c>
      <c r="J12" s="9"/>
      <c r="K12" s="9" t="n">
        <v>64</v>
      </c>
      <c r="L12" s="9" t="n">
        <v>340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cursada",IF(AND(OR(L12="",COUNTIF($F$2:$F$25,L12)=0,COUNTIFS($F$2:$F$25,L12,$Q$2:$Q$25,"Aprobada")&gt;0,AND(Resumen!$B$15="La cursada aprobada",COUNTIFS($F$2:$F$25,L12,$Q$2:$Q$25,"Cursada aprobada")&gt;0)),OR(M12="",COUNTIF($F$2:$F$25,M12)=0,COUNTIFS($F$2:$F$25,M12,$Q$2:$Q$25,"Aprobada")&gt;0,AND(Resumen!$B$15="La cursada aprobada",COUNTIFS($F$2:$F$25,M12,$Q$2:$Q$25,"Cursada aprobada")&gt;0)),OR(N12="",COUNTIF($F$2:$F$25,N12)=0,COUNTIFS($F$2:$F$25,N12,$Q$2:$Q$25,"Aprobada")&gt;0,AND(Resumen!$B$15="La cursada aprobada",COUNTIFS($F$2:$F$25,N12,$Q$2:$Q$25,"Cursada aprobada")&gt;0)),OR(O12="",COUNTIF($F$2:$F$25,O12)=0,COUNTIFS($F$2:$F$25,O12,$Q$2:$Q$25,"Aprobada")&gt;0,AND(Resumen!$B$15="La cursada aprobada",COUNTIFS($F$2:$F$25,O12,$Q$2:$Q$25,"Cursada aprobada")&gt;0)),OR(P12="",COUNTIF($F$2:$F$25,P12)=0,COUNTIFS($F$2:$F$25,P12,$Q$2:$Q$25,"Aprobada")&gt;0,AND(Resumen!$B$15="La cursada aprobada",COUNTIFS($F$2:$F$25,P12,$Q$2:$Q$25,"Cursada aprobada")&gt;0))),"Sí","No")))</f>
        <v>No</v>
      </c>
      <c r="S12" s="8" t="str">
        <f aca="false">TRIM(IF(NOT(OR(L12="",COUNTIF($F$2:$F$25,L12)=0,COUNTIFS($F$2:$F$25,L12,$Q$2:$Q$25,"Aprobada")&gt;0,AND(Resumen!$B$15="La cursada aprobada",COUNTIFS($F$2:$F$25,L12,$Q$2:$Q$25,"Cursada aprobada")&gt;0))),L12&amp;" ","")&amp;IF(NOT(OR(M12="",COUNTIF($F$2:$F$25,M12)=0,COUNTIFS($F$2:$F$25,M12,$Q$2:$Q$25,"Aprobada")&gt;0,AND(Resumen!$B$15="La cursada aprobada",COUNTIFS($F$2:$F$25,M12,$Q$2:$Q$25,"Cursada aprobada")&gt;0))),M12&amp;" ","")&amp;IF(NOT(OR(N12="",COUNTIF($F$2:$F$25,N12)=0,COUNTIFS($F$2:$F$25,N12,$Q$2:$Q$25,"Aprobada")&gt;0,AND(Resumen!$B$15="La cursada aprobada",COUNTIFS($F$2:$F$25,N12,$Q$2:$Q$25,"Cursada aprobada")&gt;0))),N12&amp;" ","")&amp;IF(NOT(OR(O12="",COUNTIF($F$2:$F$25,O12)=0,COUNTIFS($F$2:$F$25,O12,$Q$2:$Q$25,"Aprobada")&gt;0,AND(Resumen!$B$15="La cursada aprobada",COUNTIFS($F$2:$F$25,O12,$Q$2:$Q$25,"Cursada aprobada")&gt;0))),O12&amp;" ","")&amp;IF(NOT(OR(P12="",COUNTIF($F$2:$F$25,P12)=0,COUNTIFS($F$2:$F$25,P12,$Q$2:$Q$25,"Aprobada")&gt;0,AND(Resumen!$B$15="La cursada aprobada",COUNTIFS($F$2:$F$25,P12,$Q$2:$Q$25,"Cursada aprobada")&gt;0))),P12&amp;" ",""))</f>
        <v>340</v>
      </c>
      <c r="T12" s="9" t="str">
        <f aca="false">IF(Q12="Cursada aprobada",IF(AND(OR(L12="",COUNTIF($F$2:$F$25,L12)=0,COUNTIFS($F$2:$F$25,L12,$Q$2:$Q$25,"Aprobada")&gt;0),OR(M12="",COUNTIF($F$2:$F$25,M12)=0,COUNTIFS($F$2:$F$25,M12,$Q$2:$Q$25,"Aprobada")&gt;0),OR(N12="",COUNTIF($F$2:$F$25,N12)=0,COUNTIFS($F$2:$F$25,N12,$Q$2:$Q$25,"Aprobada")&gt;0),OR(O12="",COUNTIF($F$2:$F$25,O12)=0,COUNTIFS($F$2:$F$25,O12,$Q$2:$Q$25,"Aprobada")&gt;0),OR(P12="",COUNTIF($F$2:$F$25,P12)=0,COUNTIFS($F$2:$F$25,P12,$Q$2:$Q$25,"Aprobada")&gt;0)),"Sí","No"),"")</f>
        <v/>
      </c>
      <c r="U12" s="9" t="str">
        <f aca="false">IF(Q12="Aprobada",TRIM(IF(NOT(OR(L12="",COUNTIF($F$2:$F$25,L12)=0,COUNTIFS($F$2:$F$25,L12,$Q$2:$Q$25,"Aprobada")&gt;0)),L12&amp;" ","")&amp;IF(NOT(OR(M12="",COUNTIF($F$2:$F$25,M12)=0,COUNTIFS($F$2:$F$25,M12,$Q$2:$Q$25,"Aprobada")&gt;0)),M12&amp;" ","")&amp;IF(NOT(OR(N12="",COUNTIF($F$2:$F$25,N12)=0,COUNTIFS($F$2:$F$25,N12,$Q$2:$Q$25,"Aprobada")&gt;0)),N12&amp;" ","")&amp;IF(NOT(OR(O12="",COUNTIF($F$2:$F$25,O12)=0,COUNTIFS($F$2:$F$25,O12,$Q$2:$Q$25,"Aprobada")&gt;0)),O12&amp;" ","")&amp;IF(NOT(OR(P12="",COUNTIF($F$2:$F$25,P12)=0,COUNTIFS($F$2:$F$25,P12,$Q$2:$Q$25,"Aprobada")&gt;0)),P12&amp;" ","")),IF(Q12="Cursada aprobada",TRIM(IF(NOT(OR(L12="",COUNTIF($F$2:$F$25,L12)=0,COUNTIFS($F$2:$F$25,L12,$Q$2:$Q$25,"Aprobada")&gt;0,AND(Resumen!$B$15="La cursada aprobada",COUNTIFS($F$2:$F$25,L12,$Q$2:$Q$25,"Cursada aprobada")&gt;0))),L12&amp;" ","")&amp;IF(NOT(OR(M12="",COUNTIF($F$2:$F$25,M12)=0,COUNTIFS($F$2:$F$25,M12,$Q$2:$Q$25,"Aprobada")&gt;0,AND(Resumen!$B$15="La cursada aprobada",COUNTIFS($F$2:$F$25,M12,$Q$2:$Q$25,"Cursada aprobada")&gt;0))),M12&amp;" ","")&amp;IF(NOT(OR(N12="",COUNTIF($F$2:$F$25,N12)=0,COUNTIFS($F$2:$F$25,N12,$Q$2:$Q$25,"Aprobada")&gt;0,AND(Resumen!$B$15="La cursada aprobada",COUNTIFS($F$2:$F$25,N12,$Q$2:$Q$25,"Cursada aprobada")&gt;0))),N12&amp;" ","")&amp;IF(NOT(OR(O12="",COUNTIF($F$2:$F$25,O12)=0,COUNTIFS($F$2:$F$25,O12,$Q$2:$Q$25,"Aprobada")&gt;0,AND(Resumen!$B$15="La cursada aprobada",COUNTIFS($F$2:$F$25,O12,$Q$2:$Q$25,"Cursada aprobada")&gt;0))),O12&amp;" ","")&amp;IF(NOT(OR(P12="",COUNTIF($F$2:$F$25,P12)=0,COUNTIFS($F$2:$F$25,P12,$Q$2:$Q$25,"Aprobada")&gt;0,AND(Resumen!$B$15="La cursada aprobada",COUNTIFS($F$2:$F$25,P12,$Q$2:$Q$25,"Cursada aprobada")&gt;0))),P12&amp;" ","")),""))</f>
        <v/>
      </c>
    </row>
    <row r="13" customFormat="false" ht="15" hidden="false" customHeight="false" outlineLevel="0" collapsed="false">
      <c r="A13" s="8" t="s">
        <v>240</v>
      </c>
      <c r="B13" s="8"/>
      <c r="C13" s="9" t="n">
        <v>2</v>
      </c>
      <c r="D13" s="9" t="s">
        <v>241</v>
      </c>
      <c r="E13" s="9" t="s">
        <v>67</v>
      </c>
      <c r="F13" s="9" t="n">
        <v>3004</v>
      </c>
      <c r="G13" s="8" t="s">
        <v>246</v>
      </c>
      <c r="H13" s="9" t="s">
        <v>61</v>
      </c>
      <c r="I13" s="9" t="n">
        <v>6</v>
      </c>
      <c r="J13" s="9"/>
      <c r="K13" s="9" t="n">
        <v>96</v>
      </c>
      <c r="L13" s="9" t="n">
        <v>103</v>
      </c>
      <c r="M13" s="9" t="n">
        <v>300</v>
      </c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cursada",IF(AND(OR(L13="",COUNTIF($F$2:$F$25,L13)=0,COUNTIFS($F$2:$F$25,L13,$Q$2:$Q$25,"Aprobada")&gt;0,AND(Resumen!$B$15="La cursada aprobada",COUNTIFS($F$2:$F$25,L13,$Q$2:$Q$25,"Cursada aprobada")&gt;0)),OR(M13="",COUNTIF($F$2:$F$25,M13)=0,COUNTIFS($F$2:$F$25,M13,$Q$2:$Q$25,"Aprobada")&gt;0,AND(Resumen!$B$15="La cursada aprobada",COUNTIFS($F$2:$F$25,M13,$Q$2:$Q$25,"Cursada aprobada")&gt;0)),OR(N13="",COUNTIF($F$2:$F$25,N13)=0,COUNTIFS($F$2:$F$25,N13,$Q$2:$Q$25,"Aprobada")&gt;0,AND(Resumen!$B$15="La cursada aprobada",COUNTIFS($F$2:$F$25,N13,$Q$2:$Q$25,"Cursada aprobada")&gt;0)),OR(O13="",COUNTIF($F$2:$F$25,O13)=0,COUNTIFS($F$2:$F$25,O13,$Q$2:$Q$25,"Aprobada")&gt;0,AND(Resumen!$B$15="La cursada aprobada",COUNTIFS($F$2:$F$25,O13,$Q$2:$Q$25,"Cursada aprobada")&gt;0)),OR(P13="",COUNTIF($F$2:$F$25,P13)=0,COUNTIFS($F$2:$F$25,P13,$Q$2:$Q$25,"Aprobada")&gt;0,AND(Resumen!$B$15="La cursada aprobada",COUNTIFS($F$2:$F$25,P13,$Q$2:$Q$25,"Cursada aprobada")&gt;0))),"Sí","No")))</f>
        <v>No</v>
      </c>
      <c r="S13" s="8" t="str">
        <f aca="false">TRIM(IF(NOT(OR(L13="",COUNTIF($F$2:$F$25,L13)=0,COUNTIFS($F$2:$F$25,L13,$Q$2:$Q$25,"Aprobada")&gt;0,AND(Resumen!$B$15="La cursada aprobada",COUNTIFS($F$2:$F$25,L13,$Q$2:$Q$25,"Cursada aprobada")&gt;0))),L13&amp;" ","")&amp;IF(NOT(OR(M13="",COUNTIF($F$2:$F$25,M13)=0,COUNTIFS($F$2:$F$25,M13,$Q$2:$Q$25,"Aprobada")&gt;0,AND(Resumen!$B$15="La cursada aprobada",COUNTIFS($F$2:$F$25,M13,$Q$2:$Q$25,"Cursada aprobada")&gt;0))),M13&amp;" ","")&amp;IF(NOT(OR(N13="",COUNTIF($F$2:$F$25,N13)=0,COUNTIFS($F$2:$F$25,N13,$Q$2:$Q$25,"Aprobada")&gt;0,AND(Resumen!$B$15="La cursada aprobada",COUNTIFS($F$2:$F$25,N13,$Q$2:$Q$25,"Cursada aprobada")&gt;0))),N13&amp;" ","")&amp;IF(NOT(OR(O13="",COUNTIF($F$2:$F$25,O13)=0,COUNTIFS($F$2:$F$25,O13,$Q$2:$Q$25,"Aprobada")&gt;0,AND(Resumen!$B$15="La cursada aprobada",COUNTIFS($F$2:$F$25,O13,$Q$2:$Q$25,"Cursada aprobada")&gt;0))),O13&amp;" ","")&amp;IF(NOT(OR(P13="",COUNTIF($F$2:$F$25,P13)=0,COUNTIFS($F$2:$F$25,P13,$Q$2:$Q$25,"Aprobada")&gt;0,AND(Resumen!$B$15="La cursada aprobada",COUNTIFS($F$2:$F$25,P13,$Q$2:$Q$25,"Cursada aprobada")&gt;0))),P13&amp;" ",""))</f>
        <v>103 300</v>
      </c>
      <c r="T13" s="9" t="str">
        <f aca="false">IF(Q13="Cursada aprobada",IF(AND(OR(L13="",COUNTIF($F$2:$F$25,L13)=0,COUNTIFS($F$2:$F$25,L13,$Q$2:$Q$25,"Aprobada")&gt;0),OR(M13="",COUNTIF($F$2:$F$25,M13)=0,COUNTIFS($F$2:$F$25,M13,$Q$2:$Q$25,"Aprobada")&gt;0),OR(N13="",COUNTIF($F$2:$F$25,N13)=0,COUNTIFS($F$2:$F$25,N13,$Q$2:$Q$25,"Aprobada")&gt;0),OR(O13="",COUNTIF($F$2:$F$25,O13)=0,COUNTIFS($F$2:$F$25,O13,$Q$2:$Q$25,"Aprobada")&gt;0),OR(P13="",COUNTIF($F$2:$F$25,P13)=0,COUNTIFS($F$2:$F$25,P13,$Q$2:$Q$25,"Aprobada")&gt;0)),"Sí","No"),"")</f>
        <v/>
      </c>
      <c r="U13" s="9" t="str">
        <f aca="false">IF(Q13="Aprobada",TRIM(IF(NOT(OR(L13="",COUNTIF($F$2:$F$25,L13)=0,COUNTIFS($F$2:$F$25,L13,$Q$2:$Q$25,"Aprobada")&gt;0)),L13&amp;" ","")&amp;IF(NOT(OR(M13="",COUNTIF($F$2:$F$25,M13)=0,COUNTIFS($F$2:$F$25,M13,$Q$2:$Q$25,"Aprobada")&gt;0)),M13&amp;" ","")&amp;IF(NOT(OR(N13="",COUNTIF($F$2:$F$25,N13)=0,COUNTIFS($F$2:$F$25,N13,$Q$2:$Q$25,"Aprobada")&gt;0)),N13&amp;" ","")&amp;IF(NOT(OR(O13="",COUNTIF($F$2:$F$25,O13)=0,COUNTIFS($F$2:$F$25,O13,$Q$2:$Q$25,"Aprobada")&gt;0)),O13&amp;" ","")&amp;IF(NOT(OR(P13="",COUNTIF($F$2:$F$25,P13)=0,COUNTIFS($F$2:$F$25,P13,$Q$2:$Q$25,"Aprobada")&gt;0)),P13&amp;" ","")),IF(Q13="Cursada aprobada",TRIM(IF(NOT(OR(L13="",COUNTIF($F$2:$F$25,L13)=0,COUNTIFS($F$2:$F$25,L13,$Q$2:$Q$25,"Aprobada")&gt;0,AND(Resumen!$B$15="La cursada aprobada",COUNTIFS($F$2:$F$25,L13,$Q$2:$Q$25,"Cursada aprobada")&gt;0))),L13&amp;" ","")&amp;IF(NOT(OR(M13="",COUNTIF($F$2:$F$25,M13)=0,COUNTIFS($F$2:$F$25,M13,$Q$2:$Q$25,"Aprobada")&gt;0,AND(Resumen!$B$15="La cursada aprobada",COUNTIFS($F$2:$F$25,M13,$Q$2:$Q$25,"Cursada aprobada")&gt;0))),M13&amp;" ","")&amp;IF(NOT(OR(N13="",COUNTIF($F$2:$F$25,N13)=0,COUNTIFS($F$2:$F$25,N13,$Q$2:$Q$25,"Aprobada")&gt;0,AND(Resumen!$B$15="La cursada aprobada",COUNTIFS($F$2:$F$25,N13,$Q$2:$Q$25,"Cursada aprobada")&gt;0))),N13&amp;" ","")&amp;IF(NOT(OR(O13="",COUNTIF($F$2:$F$25,O13)=0,COUNTIFS($F$2:$F$25,O13,$Q$2:$Q$25,"Aprobada")&gt;0,AND(Resumen!$B$15="La cursada aprobada",COUNTIFS($F$2:$F$25,O13,$Q$2:$Q$25,"Cursada aprobada")&gt;0))),O13&amp;" ","")&amp;IF(NOT(OR(P13="",COUNTIF($F$2:$F$25,P13)=0,COUNTIFS($F$2:$F$25,P13,$Q$2:$Q$25,"Aprobada")&gt;0,AND(Resumen!$B$15="La cursada aprobada",COUNTIFS($F$2:$F$25,P13,$Q$2:$Q$25,"Cursada aprobada")&gt;0))),P13&amp;" ","")),""))</f>
        <v/>
      </c>
    </row>
    <row r="14" customFormat="false" ht="15" hidden="false" customHeight="false" outlineLevel="0" collapsed="false">
      <c r="A14" s="8" t="s">
        <v>240</v>
      </c>
      <c r="B14" s="8"/>
      <c r="C14" s="9" t="n">
        <v>2</v>
      </c>
      <c r="D14" s="9" t="s">
        <v>243</v>
      </c>
      <c r="E14" s="9" t="s">
        <v>67</v>
      </c>
      <c r="F14" s="9" t="n">
        <v>3005</v>
      </c>
      <c r="G14" s="8" t="s">
        <v>247</v>
      </c>
      <c r="H14" s="9" t="s">
        <v>61</v>
      </c>
      <c r="I14" s="9" t="n">
        <v>6</v>
      </c>
      <c r="J14" s="9"/>
      <c r="K14" s="9" t="n">
        <v>96</v>
      </c>
      <c r="L14" s="9" t="n">
        <v>104</v>
      </c>
      <c r="M14" s="9" t="n">
        <v>3004</v>
      </c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cursada",IF(AND(OR(L14="",COUNTIF($F$2:$F$25,L14)=0,COUNTIFS($F$2:$F$25,L14,$Q$2:$Q$25,"Aprobada")&gt;0,AND(Resumen!$B$15="La cursada aprobada",COUNTIFS($F$2:$F$25,L14,$Q$2:$Q$25,"Cursada aprobada")&gt;0)),OR(M14="",COUNTIF($F$2:$F$25,M14)=0,COUNTIFS($F$2:$F$25,M14,$Q$2:$Q$25,"Aprobada")&gt;0,AND(Resumen!$B$15="La cursada aprobada",COUNTIFS($F$2:$F$25,M14,$Q$2:$Q$25,"Cursada aprobada")&gt;0)),OR(N14="",COUNTIF($F$2:$F$25,N14)=0,COUNTIFS($F$2:$F$25,N14,$Q$2:$Q$25,"Aprobada")&gt;0,AND(Resumen!$B$15="La cursada aprobada",COUNTIFS($F$2:$F$25,N14,$Q$2:$Q$25,"Cursada aprobada")&gt;0)),OR(O14="",COUNTIF($F$2:$F$25,O14)=0,COUNTIFS($F$2:$F$25,O14,$Q$2:$Q$25,"Aprobada")&gt;0,AND(Resumen!$B$15="La cursada aprobada",COUNTIFS($F$2:$F$25,O14,$Q$2:$Q$25,"Cursada aprobada")&gt;0)),OR(P14="",COUNTIF($F$2:$F$25,P14)=0,COUNTIFS($F$2:$F$25,P14,$Q$2:$Q$25,"Aprobada")&gt;0,AND(Resumen!$B$15="La cursada aprobada",COUNTIFS($F$2:$F$25,P14,$Q$2:$Q$25,"Cursada aprobada")&gt;0))),"Sí","No")))</f>
        <v>No</v>
      </c>
      <c r="S14" s="8" t="str">
        <f aca="false">TRIM(IF(NOT(OR(L14="",COUNTIF($F$2:$F$25,L14)=0,COUNTIFS($F$2:$F$25,L14,$Q$2:$Q$25,"Aprobada")&gt;0,AND(Resumen!$B$15="La cursada aprobada",COUNTIFS($F$2:$F$25,L14,$Q$2:$Q$25,"Cursada aprobada")&gt;0))),L14&amp;" ","")&amp;IF(NOT(OR(M14="",COUNTIF($F$2:$F$25,M14)=0,COUNTIFS($F$2:$F$25,M14,$Q$2:$Q$25,"Aprobada")&gt;0,AND(Resumen!$B$15="La cursada aprobada",COUNTIFS($F$2:$F$25,M14,$Q$2:$Q$25,"Cursada aprobada")&gt;0))),M14&amp;" ","")&amp;IF(NOT(OR(N14="",COUNTIF($F$2:$F$25,N14)=0,COUNTIFS($F$2:$F$25,N14,$Q$2:$Q$25,"Aprobada")&gt;0,AND(Resumen!$B$15="La cursada aprobada",COUNTIFS($F$2:$F$25,N14,$Q$2:$Q$25,"Cursada aprobada")&gt;0))),N14&amp;" ","")&amp;IF(NOT(OR(O14="",COUNTIF($F$2:$F$25,O14)=0,COUNTIFS($F$2:$F$25,O14,$Q$2:$Q$25,"Aprobada")&gt;0,AND(Resumen!$B$15="La cursada aprobada",COUNTIFS($F$2:$F$25,O14,$Q$2:$Q$25,"Cursada aprobada")&gt;0))),O14&amp;" ","")&amp;IF(NOT(OR(P14="",COUNTIF($F$2:$F$25,P14)=0,COUNTIFS($F$2:$F$25,P14,$Q$2:$Q$25,"Aprobada")&gt;0,AND(Resumen!$B$15="La cursada aprobada",COUNTIFS($F$2:$F$25,P14,$Q$2:$Q$25,"Cursada aprobada")&gt;0))),P14&amp;" ",""))</f>
        <v>104 3004</v>
      </c>
      <c r="T14" s="9" t="str">
        <f aca="false">IF(Q14="Cursada aprobada",IF(AND(OR(L14="",COUNTIF($F$2:$F$25,L14)=0,COUNTIFS($F$2:$F$25,L14,$Q$2:$Q$25,"Aprobada")&gt;0),OR(M14="",COUNTIF($F$2:$F$25,M14)=0,COUNTIFS($F$2:$F$25,M14,$Q$2:$Q$25,"Aprobada")&gt;0),OR(N14="",COUNTIF($F$2:$F$25,N14)=0,COUNTIFS($F$2:$F$25,N14,$Q$2:$Q$25,"Aprobada")&gt;0),OR(O14="",COUNTIF($F$2:$F$25,O14)=0,COUNTIFS($F$2:$F$25,O14,$Q$2:$Q$25,"Aprobada")&gt;0),OR(P14="",COUNTIF($F$2:$F$25,P14)=0,COUNTIFS($F$2:$F$25,P14,$Q$2:$Q$25,"Aprobada")&gt;0)),"Sí","No"),"")</f>
        <v/>
      </c>
      <c r="U14" s="9" t="str">
        <f aca="false">IF(Q14="Aprobada",TRIM(IF(NOT(OR(L14="",COUNTIF($F$2:$F$25,L14)=0,COUNTIFS($F$2:$F$25,L14,$Q$2:$Q$25,"Aprobada")&gt;0)),L14&amp;" ","")&amp;IF(NOT(OR(M14="",COUNTIF($F$2:$F$25,M14)=0,COUNTIFS($F$2:$F$25,M14,$Q$2:$Q$25,"Aprobada")&gt;0)),M14&amp;" ","")&amp;IF(NOT(OR(N14="",COUNTIF($F$2:$F$25,N14)=0,COUNTIFS($F$2:$F$25,N14,$Q$2:$Q$25,"Aprobada")&gt;0)),N14&amp;" ","")&amp;IF(NOT(OR(O14="",COUNTIF($F$2:$F$25,O14)=0,COUNTIFS($F$2:$F$25,O14,$Q$2:$Q$25,"Aprobada")&gt;0)),O14&amp;" ","")&amp;IF(NOT(OR(P14="",COUNTIF($F$2:$F$25,P14)=0,COUNTIFS($F$2:$F$25,P14,$Q$2:$Q$25,"Aprobada")&gt;0)),P14&amp;" ","")),IF(Q14="Cursada aprobada",TRIM(IF(NOT(OR(L14="",COUNTIF($F$2:$F$25,L14)=0,COUNTIFS($F$2:$F$25,L14,$Q$2:$Q$25,"Aprobada")&gt;0,AND(Resumen!$B$15="La cursada aprobada",COUNTIFS($F$2:$F$25,L14,$Q$2:$Q$25,"Cursada aprobada")&gt;0))),L14&amp;" ","")&amp;IF(NOT(OR(M14="",COUNTIF($F$2:$F$25,M14)=0,COUNTIFS($F$2:$F$25,M14,$Q$2:$Q$25,"Aprobada")&gt;0,AND(Resumen!$B$15="La cursada aprobada",COUNTIFS($F$2:$F$25,M14,$Q$2:$Q$25,"Cursada aprobada")&gt;0))),M14&amp;" ","")&amp;IF(NOT(OR(N14="",COUNTIF($F$2:$F$25,N14)=0,COUNTIFS($F$2:$F$25,N14,$Q$2:$Q$25,"Aprobada")&gt;0,AND(Resumen!$B$15="La cursada aprobada",COUNTIFS($F$2:$F$25,N14,$Q$2:$Q$25,"Cursada aprobada")&gt;0))),N14&amp;" ","")&amp;IF(NOT(OR(O14="",COUNTIF($F$2:$F$25,O14)=0,COUNTIFS($F$2:$F$25,O14,$Q$2:$Q$25,"Aprobada")&gt;0,AND(Resumen!$B$15="La cursada aprobada",COUNTIFS($F$2:$F$25,O14,$Q$2:$Q$25,"Cursada aprobada")&gt;0))),O14&amp;" ","")&amp;IF(NOT(OR(P14="",COUNTIF($F$2:$F$25,P14)=0,COUNTIFS($F$2:$F$25,P14,$Q$2:$Q$25,"Aprobada")&gt;0,AND(Resumen!$B$15="La cursada aprobada",COUNTIFS($F$2:$F$25,P14,$Q$2:$Q$25,"Cursada aprobada")&gt;0))),P14&amp;" ","")),""))</f>
        <v/>
      </c>
    </row>
    <row r="15" customFormat="false" ht="15" hidden="false" customHeight="false" outlineLevel="0" collapsed="false">
      <c r="A15" s="8" t="s">
        <v>240</v>
      </c>
      <c r="B15" s="8"/>
      <c r="C15" s="9" t="n">
        <v>2</v>
      </c>
      <c r="D15" s="9" t="s">
        <v>243</v>
      </c>
      <c r="E15" s="9" t="s">
        <v>65</v>
      </c>
      <c r="F15" s="9" t="n">
        <v>3000</v>
      </c>
      <c r="G15" s="8" t="s">
        <v>248</v>
      </c>
      <c r="H15" s="9" t="s">
        <v>61</v>
      </c>
      <c r="I15" s="9" t="n">
        <v>6</v>
      </c>
      <c r="J15" s="9"/>
      <c r="K15" s="9" t="n">
        <v>96</v>
      </c>
      <c r="L15" s="9" t="n">
        <v>114</v>
      </c>
      <c r="M15" s="9" t="n">
        <v>300</v>
      </c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cursada",IF(AND(OR(L15="",COUNTIF($F$2:$F$25,L15)=0,COUNTIFS($F$2:$F$25,L15,$Q$2:$Q$25,"Aprobada")&gt;0,AND(Resumen!$B$15="La cursada aprobada",COUNTIFS($F$2:$F$25,L15,$Q$2:$Q$25,"Cursada aprobada")&gt;0)),OR(M15="",COUNTIF($F$2:$F$25,M15)=0,COUNTIFS($F$2:$F$25,M15,$Q$2:$Q$25,"Aprobada")&gt;0,AND(Resumen!$B$15="La cursada aprobada",COUNTIFS($F$2:$F$25,M15,$Q$2:$Q$25,"Cursada aprobada")&gt;0)),OR(N15="",COUNTIF($F$2:$F$25,N15)=0,COUNTIFS($F$2:$F$25,N15,$Q$2:$Q$25,"Aprobada")&gt;0,AND(Resumen!$B$15="La cursada aprobada",COUNTIFS($F$2:$F$25,N15,$Q$2:$Q$25,"Cursada aprobada")&gt;0)),OR(O15="",COUNTIF($F$2:$F$25,O15)=0,COUNTIFS($F$2:$F$25,O15,$Q$2:$Q$25,"Aprobada")&gt;0,AND(Resumen!$B$15="La cursada aprobada",COUNTIFS($F$2:$F$25,O15,$Q$2:$Q$25,"Cursada aprobada")&gt;0)),OR(P15="",COUNTIF($F$2:$F$25,P15)=0,COUNTIFS($F$2:$F$25,P15,$Q$2:$Q$25,"Aprobada")&gt;0,AND(Resumen!$B$15="La cursada aprobada",COUNTIFS($F$2:$F$25,P15,$Q$2:$Q$25,"Cursada aprobada")&gt;0))),"Sí","No")))</f>
        <v>No</v>
      </c>
      <c r="S15" s="8" t="str">
        <f aca="false">TRIM(IF(NOT(OR(L15="",COUNTIF($F$2:$F$25,L15)=0,COUNTIFS($F$2:$F$25,L15,$Q$2:$Q$25,"Aprobada")&gt;0,AND(Resumen!$B$15="La cursada aprobada",COUNTIFS($F$2:$F$25,L15,$Q$2:$Q$25,"Cursada aprobada")&gt;0))),L15&amp;" ","")&amp;IF(NOT(OR(M15="",COUNTIF($F$2:$F$25,M15)=0,COUNTIFS($F$2:$F$25,M15,$Q$2:$Q$25,"Aprobada")&gt;0,AND(Resumen!$B$15="La cursada aprobada",COUNTIFS($F$2:$F$25,M15,$Q$2:$Q$25,"Cursada aprobada")&gt;0))),M15&amp;" ","")&amp;IF(NOT(OR(N15="",COUNTIF($F$2:$F$25,N15)=0,COUNTIFS($F$2:$F$25,N15,$Q$2:$Q$25,"Aprobada")&gt;0,AND(Resumen!$B$15="La cursada aprobada",COUNTIFS($F$2:$F$25,N15,$Q$2:$Q$25,"Cursada aprobada")&gt;0))),N15&amp;" ","")&amp;IF(NOT(OR(O15="",COUNTIF($F$2:$F$25,O15)=0,COUNTIFS($F$2:$F$25,O15,$Q$2:$Q$25,"Aprobada")&gt;0,AND(Resumen!$B$15="La cursada aprobada",COUNTIFS($F$2:$F$25,O15,$Q$2:$Q$25,"Cursada aprobada")&gt;0))),O15&amp;" ","")&amp;IF(NOT(OR(P15="",COUNTIF($F$2:$F$25,P15)=0,COUNTIFS($F$2:$F$25,P15,$Q$2:$Q$25,"Aprobada")&gt;0,AND(Resumen!$B$15="La cursada aprobada",COUNTIFS($F$2:$F$25,P15,$Q$2:$Q$25,"Cursada aprobada")&gt;0))),P15&amp;" ",""))</f>
        <v>114 300</v>
      </c>
      <c r="T15" s="9" t="str">
        <f aca="false">IF(Q15="Cursada aprobada",IF(AND(OR(L15="",COUNTIF($F$2:$F$25,L15)=0,COUNTIFS($F$2:$F$25,L15,$Q$2:$Q$25,"Aprobada")&gt;0),OR(M15="",COUNTIF($F$2:$F$25,M15)=0,COUNTIFS($F$2:$F$25,M15,$Q$2:$Q$25,"Aprobada")&gt;0),OR(N15="",COUNTIF($F$2:$F$25,N15)=0,COUNTIFS($F$2:$F$25,N15,$Q$2:$Q$25,"Aprobada")&gt;0),OR(O15="",COUNTIF($F$2:$F$25,O15)=0,COUNTIFS($F$2:$F$25,O15,$Q$2:$Q$25,"Aprobada")&gt;0),OR(P15="",COUNTIF($F$2:$F$25,P15)=0,COUNTIFS($F$2:$F$25,P15,$Q$2:$Q$25,"Aprobada")&gt;0)),"Sí","No"),"")</f>
        <v/>
      </c>
      <c r="U15" s="9" t="str">
        <f aca="false">IF(Q15="Aprobada",TRIM(IF(NOT(OR(L15="",COUNTIF($F$2:$F$25,L15)=0,COUNTIFS($F$2:$F$25,L15,$Q$2:$Q$25,"Aprobada")&gt;0)),L15&amp;" ","")&amp;IF(NOT(OR(M15="",COUNTIF($F$2:$F$25,M15)=0,COUNTIFS($F$2:$F$25,M15,$Q$2:$Q$25,"Aprobada")&gt;0)),M15&amp;" ","")&amp;IF(NOT(OR(N15="",COUNTIF($F$2:$F$25,N15)=0,COUNTIFS($F$2:$F$25,N15,$Q$2:$Q$25,"Aprobada")&gt;0)),N15&amp;" ","")&amp;IF(NOT(OR(O15="",COUNTIF($F$2:$F$25,O15)=0,COUNTIFS($F$2:$F$25,O15,$Q$2:$Q$25,"Aprobada")&gt;0)),O15&amp;" ","")&amp;IF(NOT(OR(P15="",COUNTIF($F$2:$F$25,P15)=0,COUNTIFS($F$2:$F$25,P15,$Q$2:$Q$25,"Aprobada")&gt;0)),P15&amp;" ","")),IF(Q15="Cursada aprobada",TRIM(IF(NOT(OR(L15="",COUNTIF($F$2:$F$25,L15)=0,COUNTIFS($F$2:$F$25,L15,$Q$2:$Q$25,"Aprobada")&gt;0,AND(Resumen!$B$15="La cursada aprobada",COUNTIFS($F$2:$F$25,L15,$Q$2:$Q$25,"Cursada aprobada")&gt;0))),L15&amp;" ","")&amp;IF(NOT(OR(M15="",COUNTIF($F$2:$F$25,M15)=0,COUNTIFS($F$2:$F$25,M15,$Q$2:$Q$25,"Aprobada")&gt;0,AND(Resumen!$B$15="La cursada aprobada",COUNTIFS($F$2:$F$25,M15,$Q$2:$Q$25,"Cursada aprobada")&gt;0))),M15&amp;" ","")&amp;IF(NOT(OR(N15="",COUNTIF($F$2:$F$25,N15)=0,COUNTIFS($F$2:$F$25,N15,$Q$2:$Q$25,"Aprobada")&gt;0,AND(Resumen!$B$15="La cursada aprobada",COUNTIFS($F$2:$F$25,N15,$Q$2:$Q$25,"Cursada aprobada")&gt;0))),N15&amp;" ","")&amp;IF(NOT(OR(O15="",COUNTIF($F$2:$F$25,O15)=0,COUNTIFS($F$2:$F$25,O15,$Q$2:$Q$25,"Aprobada")&gt;0,AND(Resumen!$B$15="La cursada aprobada",COUNTIFS($F$2:$F$25,O15,$Q$2:$Q$25,"Cursada aprobada")&gt;0))),O15&amp;" ","")&amp;IF(NOT(OR(P15="",COUNTIF($F$2:$F$25,P15)=0,COUNTIFS($F$2:$F$25,P15,$Q$2:$Q$25,"Aprobada")&gt;0,AND(Resumen!$B$15="La cursada aprobada",COUNTIFS($F$2:$F$25,P15,$Q$2:$Q$25,"Cursada aprobada")&gt;0))),P15&amp;" ","")),""))</f>
        <v/>
      </c>
    </row>
    <row r="16" customFormat="false" ht="15" hidden="false" customHeight="false" outlineLevel="0" collapsed="false">
      <c r="A16" s="8" t="s">
        <v>240</v>
      </c>
      <c r="B16" s="8"/>
      <c r="C16" s="9" t="n">
        <v>2</v>
      </c>
      <c r="D16" s="9" t="s">
        <v>243</v>
      </c>
      <c r="E16" s="9" t="s">
        <v>67</v>
      </c>
      <c r="F16" s="9" t="n">
        <v>3003</v>
      </c>
      <c r="G16" s="8" t="s">
        <v>249</v>
      </c>
      <c r="H16" s="9" t="s">
        <v>61</v>
      </c>
      <c r="I16" s="9" t="n">
        <v>4</v>
      </c>
      <c r="J16" s="9"/>
      <c r="K16" s="9" t="n">
        <v>64</v>
      </c>
      <c r="L16" s="9" t="n">
        <v>3004</v>
      </c>
      <c r="M16" s="9" t="n">
        <v>1081</v>
      </c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cursada",IF(AND(OR(L16="",COUNTIF($F$2:$F$25,L16)=0,COUNTIFS($F$2:$F$25,L16,$Q$2:$Q$25,"Aprobada")&gt;0,AND(Resumen!$B$15="La cursada aprobada",COUNTIFS($F$2:$F$25,L16,$Q$2:$Q$25,"Cursada aprobada")&gt;0)),OR(M16="",COUNTIF($F$2:$F$25,M16)=0,COUNTIFS($F$2:$F$25,M16,$Q$2:$Q$25,"Aprobada")&gt;0,AND(Resumen!$B$15="La cursada aprobada",COUNTIFS($F$2:$F$25,M16,$Q$2:$Q$25,"Cursada aprobada")&gt;0)),OR(N16="",COUNTIF($F$2:$F$25,N16)=0,COUNTIFS($F$2:$F$25,N16,$Q$2:$Q$25,"Aprobada")&gt;0,AND(Resumen!$B$15="La cursada aprobada",COUNTIFS($F$2:$F$25,N16,$Q$2:$Q$25,"Cursada aprobada")&gt;0)),OR(O16="",COUNTIF($F$2:$F$25,O16)=0,COUNTIFS($F$2:$F$25,O16,$Q$2:$Q$25,"Aprobada")&gt;0,AND(Resumen!$B$15="La cursada aprobada",COUNTIFS($F$2:$F$25,O16,$Q$2:$Q$25,"Cursada aprobada")&gt;0)),OR(P16="",COUNTIF($F$2:$F$25,P16)=0,COUNTIFS($F$2:$F$25,P16,$Q$2:$Q$25,"Aprobada")&gt;0,AND(Resumen!$B$15="La cursada aprobada",COUNTIFS($F$2:$F$25,P16,$Q$2:$Q$25,"Cursada aprobada")&gt;0))),"Sí","No")))</f>
        <v>No</v>
      </c>
      <c r="S16" s="8" t="str">
        <f aca="false">TRIM(IF(NOT(OR(L16="",COUNTIF($F$2:$F$25,L16)=0,COUNTIFS($F$2:$F$25,L16,$Q$2:$Q$25,"Aprobada")&gt;0,AND(Resumen!$B$15="La cursada aprobada",COUNTIFS($F$2:$F$25,L16,$Q$2:$Q$25,"Cursada aprobada")&gt;0))),L16&amp;" ","")&amp;IF(NOT(OR(M16="",COUNTIF($F$2:$F$25,M16)=0,COUNTIFS($F$2:$F$25,M16,$Q$2:$Q$25,"Aprobada")&gt;0,AND(Resumen!$B$15="La cursada aprobada",COUNTIFS($F$2:$F$25,M16,$Q$2:$Q$25,"Cursada aprobada")&gt;0))),M16&amp;" ","")&amp;IF(NOT(OR(N16="",COUNTIF($F$2:$F$25,N16)=0,COUNTIFS($F$2:$F$25,N16,$Q$2:$Q$25,"Aprobada")&gt;0,AND(Resumen!$B$15="La cursada aprobada",COUNTIFS($F$2:$F$25,N16,$Q$2:$Q$25,"Cursada aprobada")&gt;0))),N16&amp;" ","")&amp;IF(NOT(OR(O16="",COUNTIF($F$2:$F$25,O16)=0,COUNTIFS($F$2:$F$25,O16,$Q$2:$Q$25,"Aprobada")&gt;0,AND(Resumen!$B$15="La cursada aprobada",COUNTIFS($F$2:$F$25,O16,$Q$2:$Q$25,"Cursada aprobada")&gt;0))),O16&amp;" ","")&amp;IF(NOT(OR(P16="",COUNTIF($F$2:$F$25,P16)=0,COUNTIFS($F$2:$F$25,P16,$Q$2:$Q$25,"Aprobada")&gt;0,AND(Resumen!$B$15="La cursada aprobada",COUNTIFS($F$2:$F$25,P16,$Q$2:$Q$25,"Cursada aprobada")&gt;0))),P16&amp;" ",""))</f>
        <v>3004 1081</v>
      </c>
      <c r="T16" s="9" t="str">
        <f aca="false">IF(Q16="Cursada aprobada",IF(AND(OR(L16="",COUNTIF($F$2:$F$25,L16)=0,COUNTIFS($F$2:$F$25,L16,$Q$2:$Q$25,"Aprobada")&gt;0),OR(M16="",COUNTIF($F$2:$F$25,M16)=0,COUNTIFS($F$2:$F$25,M16,$Q$2:$Q$25,"Aprobada")&gt;0),OR(N16="",COUNTIF($F$2:$F$25,N16)=0,COUNTIFS($F$2:$F$25,N16,$Q$2:$Q$25,"Aprobada")&gt;0),OR(O16="",COUNTIF($F$2:$F$25,O16)=0,COUNTIFS($F$2:$F$25,O16,$Q$2:$Q$25,"Aprobada")&gt;0),OR(P16="",COUNTIF($F$2:$F$25,P16)=0,COUNTIFS($F$2:$F$25,P16,$Q$2:$Q$25,"Aprobada")&gt;0)),"Sí","No"),"")</f>
        <v/>
      </c>
      <c r="U16" s="9" t="str">
        <f aca="false">IF(Q16="Aprobada",TRIM(IF(NOT(OR(L16="",COUNTIF($F$2:$F$25,L16)=0,COUNTIFS($F$2:$F$25,L16,$Q$2:$Q$25,"Aprobada")&gt;0)),L16&amp;" ","")&amp;IF(NOT(OR(M16="",COUNTIF($F$2:$F$25,M16)=0,COUNTIFS($F$2:$F$25,M16,$Q$2:$Q$25,"Aprobada")&gt;0)),M16&amp;" ","")&amp;IF(NOT(OR(N16="",COUNTIF($F$2:$F$25,N16)=0,COUNTIFS($F$2:$F$25,N16,$Q$2:$Q$25,"Aprobada")&gt;0)),N16&amp;" ","")&amp;IF(NOT(OR(O16="",COUNTIF($F$2:$F$25,O16)=0,COUNTIFS($F$2:$F$25,O16,$Q$2:$Q$25,"Aprobada")&gt;0)),O16&amp;" ","")&amp;IF(NOT(OR(P16="",COUNTIF($F$2:$F$25,P16)=0,COUNTIFS($F$2:$F$25,P16,$Q$2:$Q$25,"Aprobada")&gt;0)),P16&amp;" ","")),IF(Q16="Cursada aprobada",TRIM(IF(NOT(OR(L16="",COUNTIF($F$2:$F$25,L16)=0,COUNTIFS($F$2:$F$25,L16,$Q$2:$Q$25,"Aprobada")&gt;0,AND(Resumen!$B$15="La cursada aprobada",COUNTIFS($F$2:$F$25,L16,$Q$2:$Q$25,"Cursada aprobada")&gt;0))),L16&amp;" ","")&amp;IF(NOT(OR(M16="",COUNTIF($F$2:$F$25,M16)=0,COUNTIFS($F$2:$F$25,M16,$Q$2:$Q$25,"Aprobada")&gt;0,AND(Resumen!$B$15="La cursada aprobada",COUNTIFS($F$2:$F$25,M16,$Q$2:$Q$25,"Cursada aprobada")&gt;0))),M16&amp;" ","")&amp;IF(NOT(OR(N16="",COUNTIF($F$2:$F$25,N16)=0,COUNTIFS($F$2:$F$25,N16,$Q$2:$Q$25,"Aprobada")&gt;0,AND(Resumen!$B$15="La cursada aprobada",COUNTIFS($F$2:$F$25,N16,$Q$2:$Q$25,"Cursada aprobada")&gt;0))),N16&amp;" ","")&amp;IF(NOT(OR(O16="",COUNTIF($F$2:$F$25,O16)=0,COUNTIFS($F$2:$F$25,O16,$Q$2:$Q$25,"Aprobada")&gt;0,AND(Resumen!$B$15="La cursada aprobada",COUNTIFS($F$2:$F$25,O16,$Q$2:$Q$25,"Cursada aprobada")&gt;0))),O16&amp;" ","")&amp;IF(NOT(OR(P16="",COUNTIF($F$2:$F$25,P16)=0,COUNTIFS($F$2:$F$25,P16,$Q$2:$Q$25,"Aprobada")&gt;0,AND(Resumen!$B$15="La cursada aprobada",COUNTIFS($F$2:$F$25,P16,$Q$2:$Q$25,"Cursada aprobada")&gt;0))),P16&amp;" ","")),""))</f>
        <v/>
      </c>
    </row>
    <row r="17" customFormat="false" ht="15" hidden="false" customHeight="false" outlineLevel="0" collapsed="false">
      <c r="A17" s="8" t="s">
        <v>240</v>
      </c>
      <c r="B17" s="8"/>
      <c r="C17" s="9" t="n">
        <v>3</v>
      </c>
      <c r="D17" s="9" t="s">
        <v>241</v>
      </c>
      <c r="E17" s="9" t="s">
        <v>67</v>
      </c>
      <c r="F17" s="9" t="n">
        <v>3006</v>
      </c>
      <c r="G17" s="8" t="s">
        <v>250</v>
      </c>
      <c r="H17" s="9" t="s">
        <v>61</v>
      </c>
      <c r="I17" s="9" t="n">
        <v>6</v>
      </c>
      <c r="J17" s="9"/>
      <c r="K17" s="9" t="n">
        <v>96</v>
      </c>
      <c r="L17" s="9" t="n">
        <v>1123</v>
      </c>
      <c r="M17" s="9" t="n">
        <v>3004</v>
      </c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cursada",IF(AND(OR(L17="",COUNTIF($F$2:$F$25,L17)=0,COUNTIFS($F$2:$F$25,L17,$Q$2:$Q$25,"Aprobada")&gt;0,AND(Resumen!$B$15="La cursada aprobada",COUNTIFS($F$2:$F$25,L17,$Q$2:$Q$25,"Cursada aprobada")&gt;0)),OR(M17="",COUNTIF($F$2:$F$25,M17)=0,COUNTIFS($F$2:$F$25,M17,$Q$2:$Q$25,"Aprobada")&gt;0,AND(Resumen!$B$15="La cursada aprobada",COUNTIFS($F$2:$F$25,M17,$Q$2:$Q$25,"Cursada aprobada")&gt;0)),OR(N17="",COUNTIF($F$2:$F$25,N17)=0,COUNTIFS($F$2:$F$25,N17,$Q$2:$Q$25,"Aprobada")&gt;0,AND(Resumen!$B$15="La cursada aprobada",COUNTIFS($F$2:$F$25,N17,$Q$2:$Q$25,"Cursada aprobada")&gt;0)),OR(O17="",COUNTIF($F$2:$F$25,O17)=0,COUNTIFS($F$2:$F$25,O17,$Q$2:$Q$25,"Aprobada")&gt;0,AND(Resumen!$B$15="La cursada aprobada",COUNTIFS($F$2:$F$25,O17,$Q$2:$Q$25,"Cursada aprobada")&gt;0)),OR(P17="",COUNTIF($F$2:$F$25,P17)=0,COUNTIFS($F$2:$F$25,P17,$Q$2:$Q$25,"Aprobada")&gt;0,AND(Resumen!$B$15="La cursada aprobada",COUNTIFS($F$2:$F$25,P17,$Q$2:$Q$25,"Cursada aprobada")&gt;0))),"Sí","No")))</f>
        <v>No</v>
      </c>
      <c r="S17" s="8" t="str">
        <f aca="false">TRIM(IF(NOT(OR(L17="",COUNTIF($F$2:$F$25,L17)=0,COUNTIFS($F$2:$F$25,L17,$Q$2:$Q$25,"Aprobada")&gt;0,AND(Resumen!$B$15="La cursada aprobada",COUNTIFS($F$2:$F$25,L17,$Q$2:$Q$25,"Cursada aprobada")&gt;0))),L17&amp;" ","")&amp;IF(NOT(OR(M17="",COUNTIF($F$2:$F$25,M17)=0,COUNTIFS($F$2:$F$25,M17,$Q$2:$Q$25,"Aprobada")&gt;0,AND(Resumen!$B$15="La cursada aprobada",COUNTIFS($F$2:$F$25,M17,$Q$2:$Q$25,"Cursada aprobada")&gt;0))),M17&amp;" ","")&amp;IF(NOT(OR(N17="",COUNTIF($F$2:$F$25,N17)=0,COUNTIFS($F$2:$F$25,N17,$Q$2:$Q$25,"Aprobada")&gt;0,AND(Resumen!$B$15="La cursada aprobada",COUNTIFS($F$2:$F$25,N17,$Q$2:$Q$25,"Cursada aprobada")&gt;0))),N17&amp;" ","")&amp;IF(NOT(OR(O17="",COUNTIF($F$2:$F$25,O17)=0,COUNTIFS($F$2:$F$25,O17,$Q$2:$Q$25,"Aprobada")&gt;0,AND(Resumen!$B$15="La cursada aprobada",COUNTIFS($F$2:$F$25,O17,$Q$2:$Q$25,"Cursada aprobada")&gt;0))),O17&amp;" ","")&amp;IF(NOT(OR(P17="",COUNTIF($F$2:$F$25,P17)=0,COUNTIFS($F$2:$F$25,P17,$Q$2:$Q$25,"Aprobada")&gt;0,AND(Resumen!$B$15="La cursada aprobada",COUNTIFS($F$2:$F$25,P17,$Q$2:$Q$25,"Cursada aprobada")&gt;0))),P17&amp;" ",""))</f>
        <v>1123 3004</v>
      </c>
      <c r="T17" s="9" t="str">
        <f aca="false">IF(Q17="Cursada aprobada",IF(AND(OR(L17="",COUNTIF($F$2:$F$25,L17)=0,COUNTIFS($F$2:$F$25,L17,$Q$2:$Q$25,"Aprobada")&gt;0),OR(M17="",COUNTIF($F$2:$F$25,M17)=0,COUNTIFS($F$2:$F$25,M17,$Q$2:$Q$25,"Aprobada")&gt;0),OR(N17="",COUNTIF($F$2:$F$25,N17)=0,COUNTIFS($F$2:$F$25,N17,$Q$2:$Q$25,"Aprobada")&gt;0),OR(O17="",COUNTIF($F$2:$F$25,O17)=0,COUNTIFS($F$2:$F$25,O17,$Q$2:$Q$25,"Aprobada")&gt;0),OR(P17="",COUNTIF($F$2:$F$25,P17)=0,COUNTIFS($F$2:$F$25,P17,$Q$2:$Q$25,"Aprobada")&gt;0)),"Sí","No"),"")</f>
        <v/>
      </c>
      <c r="U17" s="9" t="str">
        <f aca="false">IF(Q17="Aprobada",TRIM(IF(NOT(OR(L17="",COUNTIF($F$2:$F$25,L17)=0,COUNTIFS($F$2:$F$25,L17,$Q$2:$Q$25,"Aprobada")&gt;0)),L17&amp;" ","")&amp;IF(NOT(OR(M17="",COUNTIF($F$2:$F$25,M17)=0,COUNTIFS($F$2:$F$25,M17,$Q$2:$Q$25,"Aprobada")&gt;0)),M17&amp;" ","")&amp;IF(NOT(OR(N17="",COUNTIF($F$2:$F$25,N17)=0,COUNTIFS($F$2:$F$25,N17,$Q$2:$Q$25,"Aprobada")&gt;0)),N17&amp;" ","")&amp;IF(NOT(OR(O17="",COUNTIF($F$2:$F$25,O17)=0,COUNTIFS($F$2:$F$25,O17,$Q$2:$Q$25,"Aprobada")&gt;0)),O17&amp;" ","")&amp;IF(NOT(OR(P17="",COUNTIF($F$2:$F$25,P17)=0,COUNTIFS($F$2:$F$25,P17,$Q$2:$Q$25,"Aprobada")&gt;0)),P17&amp;" ","")),IF(Q17="Cursada aprobada",TRIM(IF(NOT(OR(L17="",COUNTIF($F$2:$F$25,L17)=0,COUNTIFS($F$2:$F$25,L17,$Q$2:$Q$25,"Aprobada")&gt;0,AND(Resumen!$B$15="La cursada aprobada",COUNTIFS($F$2:$F$25,L17,$Q$2:$Q$25,"Cursada aprobada")&gt;0))),L17&amp;" ","")&amp;IF(NOT(OR(M17="",COUNTIF($F$2:$F$25,M17)=0,COUNTIFS($F$2:$F$25,M17,$Q$2:$Q$25,"Aprobada")&gt;0,AND(Resumen!$B$15="La cursada aprobada",COUNTIFS($F$2:$F$25,M17,$Q$2:$Q$25,"Cursada aprobada")&gt;0))),M17&amp;" ","")&amp;IF(NOT(OR(N17="",COUNTIF($F$2:$F$25,N17)=0,COUNTIFS($F$2:$F$25,N17,$Q$2:$Q$25,"Aprobada")&gt;0,AND(Resumen!$B$15="La cursada aprobada",COUNTIFS($F$2:$F$25,N17,$Q$2:$Q$25,"Cursada aprobada")&gt;0))),N17&amp;" ","")&amp;IF(NOT(OR(O17="",COUNTIF($F$2:$F$25,O17)=0,COUNTIFS($F$2:$F$25,O17,$Q$2:$Q$25,"Aprobada")&gt;0,AND(Resumen!$B$15="La cursada aprobada",COUNTIFS($F$2:$F$25,O17,$Q$2:$Q$25,"Cursada aprobada")&gt;0))),O17&amp;" ","")&amp;IF(NOT(OR(P17="",COUNTIF($F$2:$F$25,P17)=0,COUNTIFS($F$2:$F$25,P17,$Q$2:$Q$25,"Aprobada")&gt;0,AND(Resumen!$B$15="La cursada aprobada",COUNTIFS($F$2:$F$25,P17,$Q$2:$Q$25,"Cursada aprobada")&gt;0))),P17&amp;" ","")),""))</f>
        <v/>
      </c>
    </row>
    <row r="18" customFormat="false" ht="15" hidden="false" customHeight="false" outlineLevel="0" collapsed="false">
      <c r="A18" s="8" t="s">
        <v>240</v>
      </c>
      <c r="B18" s="8"/>
      <c r="C18" s="9" t="n">
        <v>3</v>
      </c>
      <c r="D18" s="9" t="s">
        <v>241</v>
      </c>
      <c r="E18" s="9" t="s">
        <v>77</v>
      </c>
      <c r="F18" s="9" t="n">
        <v>425</v>
      </c>
      <c r="G18" s="8" t="s">
        <v>251</v>
      </c>
      <c r="H18" s="9" t="s">
        <v>71</v>
      </c>
      <c r="I18" s="9" t="n">
        <v>4</v>
      </c>
      <c r="J18" s="9"/>
      <c r="K18" s="9" t="n">
        <v>64</v>
      </c>
      <c r="L18" s="9" t="n">
        <v>1081</v>
      </c>
      <c r="M18" s="9"/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cursada",IF(AND(OR(L18="",COUNTIF($F$2:$F$25,L18)=0,COUNTIFS($F$2:$F$25,L18,$Q$2:$Q$25,"Aprobada")&gt;0,AND(Resumen!$B$15="La cursada aprobada",COUNTIFS($F$2:$F$25,L18,$Q$2:$Q$25,"Cursada aprobada")&gt;0)),OR(M18="",COUNTIF($F$2:$F$25,M18)=0,COUNTIFS($F$2:$F$25,M18,$Q$2:$Q$25,"Aprobada")&gt;0,AND(Resumen!$B$15="La cursada aprobada",COUNTIFS($F$2:$F$25,M18,$Q$2:$Q$25,"Cursada aprobada")&gt;0)),OR(N18="",COUNTIF($F$2:$F$25,N18)=0,COUNTIFS($F$2:$F$25,N18,$Q$2:$Q$25,"Aprobada")&gt;0,AND(Resumen!$B$15="La cursada aprobada",COUNTIFS($F$2:$F$25,N18,$Q$2:$Q$25,"Cursada aprobada")&gt;0)),OR(O18="",COUNTIF($F$2:$F$25,O18)=0,COUNTIFS($F$2:$F$25,O18,$Q$2:$Q$25,"Aprobada")&gt;0,AND(Resumen!$B$15="La cursada aprobada",COUNTIFS($F$2:$F$25,O18,$Q$2:$Q$25,"Cursada aprobada")&gt;0)),OR(P18="",COUNTIF($F$2:$F$25,P18)=0,COUNTIFS($F$2:$F$25,P18,$Q$2:$Q$25,"Aprobada")&gt;0,AND(Resumen!$B$15="La cursada aprobada",COUNTIFS($F$2:$F$25,P18,$Q$2:$Q$25,"Cursada aprobada")&gt;0))),"Sí","No")))</f>
        <v>No</v>
      </c>
      <c r="S18" s="8" t="str">
        <f aca="false">TRIM(IF(NOT(OR(L18="",COUNTIF($F$2:$F$25,L18)=0,COUNTIFS($F$2:$F$25,L18,$Q$2:$Q$25,"Aprobada")&gt;0,AND(Resumen!$B$15="La cursada aprobada",COUNTIFS($F$2:$F$25,L18,$Q$2:$Q$25,"Cursada aprobada")&gt;0))),L18&amp;" ","")&amp;IF(NOT(OR(M18="",COUNTIF($F$2:$F$25,M18)=0,COUNTIFS($F$2:$F$25,M18,$Q$2:$Q$25,"Aprobada")&gt;0,AND(Resumen!$B$15="La cursada aprobada",COUNTIFS($F$2:$F$25,M18,$Q$2:$Q$25,"Cursada aprobada")&gt;0))),M18&amp;" ","")&amp;IF(NOT(OR(N18="",COUNTIF($F$2:$F$25,N18)=0,COUNTIFS($F$2:$F$25,N18,$Q$2:$Q$25,"Aprobada")&gt;0,AND(Resumen!$B$15="La cursada aprobada",COUNTIFS($F$2:$F$25,N18,$Q$2:$Q$25,"Cursada aprobada")&gt;0))),N18&amp;" ","")&amp;IF(NOT(OR(O18="",COUNTIF($F$2:$F$25,O18)=0,COUNTIFS($F$2:$F$25,O18,$Q$2:$Q$25,"Aprobada")&gt;0,AND(Resumen!$B$15="La cursada aprobada",COUNTIFS($F$2:$F$25,O18,$Q$2:$Q$25,"Cursada aprobada")&gt;0))),O18&amp;" ","")&amp;IF(NOT(OR(P18="",COUNTIF($F$2:$F$25,P18)=0,COUNTIFS($F$2:$F$25,P18,$Q$2:$Q$25,"Aprobada")&gt;0,AND(Resumen!$B$15="La cursada aprobada",COUNTIFS($F$2:$F$25,P18,$Q$2:$Q$25,"Cursada aprobada")&gt;0))),P18&amp;" ",""))</f>
        <v>1081</v>
      </c>
      <c r="T18" s="9" t="str">
        <f aca="false">IF(Q18="Cursada aprobada",IF(AND(OR(L18="",COUNTIF($F$2:$F$25,L18)=0,COUNTIFS($F$2:$F$25,L18,$Q$2:$Q$25,"Aprobada")&gt;0),OR(M18="",COUNTIF($F$2:$F$25,M18)=0,COUNTIFS($F$2:$F$25,M18,$Q$2:$Q$25,"Aprobada")&gt;0),OR(N18="",COUNTIF($F$2:$F$25,N18)=0,COUNTIFS($F$2:$F$25,N18,$Q$2:$Q$25,"Aprobada")&gt;0),OR(O18="",COUNTIF($F$2:$F$25,O18)=0,COUNTIFS($F$2:$F$25,O18,$Q$2:$Q$25,"Aprobada")&gt;0),OR(P18="",COUNTIF($F$2:$F$25,P18)=0,COUNTIFS($F$2:$F$25,P18,$Q$2:$Q$25,"Aprobada")&gt;0)),"Sí","No"),"")</f>
        <v/>
      </c>
      <c r="U18" s="9" t="str">
        <f aca="false">IF(Q18="Aprobada",TRIM(IF(NOT(OR(L18="",COUNTIF($F$2:$F$25,L18)=0,COUNTIFS($F$2:$F$25,L18,$Q$2:$Q$25,"Aprobada")&gt;0)),L18&amp;" ","")&amp;IF(NOT(OR(M18="",COUNTIF($F$2:$F$25,M18)=0,COUNTIFS($F$2:$F$25,M18,$Q$2:$Q$25,"Aprobada")&gt;0)),M18&amp;" ","")&amp;IF(NOT(OR(N18="",COUNTIF($F$2:$F$25,N18)=0,COUNTIFS($F$2:$F$25,N18,$Q$2:$Q$25,"Aprobada")&gt;0)),N18&amp;" ","")&amp;IF(NOT(OR(O18="",COUNTIF($F$2:$F$25,O18)=0,COUNTIFS($F$2:$F$25,O18,$Q$2:$Q$25,"Aprobada")&gt;0)),O18&amp;" ","")&amp;IF(NOT(OR(P18="",COUNTIF($F$2:$F$25,P18)=0,COUNTIFS($F$2:$F$25,P18,$Q$2:$Q$25,"Aprobada")&gt;0)),P18&amp;" ","")),IF(Q18="Cursada aprobada",TRIM(IF(NOT(OR(L18="",COUNTIF($F$2:$F$25,L18)=0,COUNTIFS($F$2:$F$25,L18,$Q$2:$Q$25,"Aprobada")&gt;0,AND(Resumen!$B$15="La cursada aprobada",COUNTIFS($F$2:$F$25,L18,$Q$2:$Q$25,"Cursada aprobada")&gt;0))),L18&amp;" ","")&amp;IF(NOT(OR(M18="",COUNTIF($F$2:$F$25,M18)=0,COUNTIFS($F$2:$F$25,M18,$Q$2:$Q$25,"Aprobada")&gt;0,AND(Resumen!$B$15="La cursada aprobada",COUNTIFS($F$2:$F$25,M18,$Q$2:$Q$25,"Cursada aprobada")&gt;0))),M18&amp;" ","")&amp;IF(NOT(OR(N18="",COUNTIF($F$2:$F$25,N18)=0,COUNTIFS($F$2:$F$25,N18,$Q$2:$Q$25,"Aprobada")&gt;0,AND(Resumen!$B$15="La cursada aprobada",COUNTIFS($F$2:$F$25,N18,$Q$2:$Q$25,"Cursada aprobada")&gt;0))),N18&amp;" ","")&amp;IF(NOT(OR(O18="",COUNTIF($F$2:$F$25,O18)=0,COUNTIFS($F$2:$F$25,O18,$Q$2:$Q$25,"Aprobada")&gt;0,AND(Resumen!$B$15="La cursada aprobada",COUNTIFS($F$2:$F$25,O18,$Q$2:$Q$25,"Cursada aprobada")&gt;0))),O18&amp;" ","")&amp;IF(NOT(OR(P18="",COUNTIF($F$2:$F$25,P18)=0,COUNTIFS($F$2:$F$25,P18,$Q$2:$Q$25,"Aprobada")&gt;0,AND(Resumen!$B$15="La cursada aprobada",COUNTIFS($F$2:$F$25,P18,$Q$2:$Q$25,"Cursada aprobada")&gt;0))),P18&amp;" ","")),""))</f>
        <v/>
      </c>
    </row>
    <row r="19" customFormat="false" ht="15" hidden="false" customHeight="false" outlineLevel="0" collapsed="false">
      <c r="A19" s="8" t="s">
        <v>240</v>
      </c>
      <c r="B19" s="8"/>
      <c r="C19" s="9" t="n">
        <v>3</v>
      </c>
      <c r="D19" s="9" t="s">
        <v>243</v>
      </c>
      <c r="E19" s="9" t="s">
        <v>63</v>
      </c>
      <c r="F19" s="9" t="n">
        <v>3002</v>
      </c>
      <c r="G19" s="8" t="s">
        <v>252</v>
      </c>
      <c r="H19" s="9" t="s">
        <v>61</v>
      </c>
      <c r="I19" s="9" t="n">
        <v>5</v>
      </c>
      <c r="J19" s="9"/>
      <c r="K19" s="9" t="n">
        <v>80</v>
      </c>
      <c r="L19" s="9" t="n">
        <v>3004</v>
      </c>
      <c r="M19" s="9" t="n">
        <v>3000</v>
      </c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cursada",IF(AND(OR(L19="",COUNTIF($F$2:$F$25,L19)=0,COUNTIFS($F$2:$F$25,L19,$Q$2:$Q$25,"Aprobada")&gt;0,AND(Resumen!$B$15="La cursada aprobada",COUNTIFS($F$2:$F$25,L19,$Q$2:$Q$25,"Cursada aprobada")&gt;0)),OR(M19="",COUNTIF($F$2:$F$25,M19)=0,COUNTIFS($F$2:$F$25,M19,$Q$2:$Q$25,"Aprobada")&gt;0,AND(Resumen!$B$15="La cursada aprobada",COUNTIFS($F$2:$F$25,M19,$Q$2:$Q$25,"Cursada aprobada")&gt;0)),OR(N19="",COUNTIF($F$2:$F$25,N19)=0,COUNTIFS($F$2:$F$25,N19,$Q$2:$Q$25,"Aprobada")&gt;0,AND(Resumen!$B$15="La cursada aprobada",COUNTIFS($F$2:$F$25,N19,$Q$2:$Q$25,"Cursada aprobada")&gt;0)),OR(O19="",COUNTIF($F$2:$F$25,O19)=0,COUNTIFS($F$2:$F$25,O19,$Q$2:$Q$25,"Aprobada")&gt;0,AND(Resumen!$B$15="La cursada aprobada",COUNTIFS($F$2:$F$25,O19,$Q$2:$Q$25,"Cursada aprobada")&gt;0)),OR(P19="",COUNTIF($F$2:$F$25,P19)=0,COUNTIFS($F$2:$F$25,P19,$Q$2:$Q$25,"Aprobada")&gt;0,AND(Resumen!$B$15="La cursada aprobada",COUNTIFS($F$2:$F$25,P19,$Q$2:$Q$25,"Cursada aprobada")&gt;0))),"Sí","No")))</f>
        <v>No</v>
      </c>
      <c r="S19" s="8" t="str">
        <f aca="false">TRIM(IF(NOT(OR(L19="",COUNTIF($F$2:$F$25,L19)=0,COUNTIFS($F$2:$F$25,L19,$Q$2:$Q$25,"Aprobada")&gt;0,AND(Resumen!$B$15="La cursada aprobada",COUNTIFS($F$2:$F$25,L19,$Q$2:$Q$25,"Cursada aprobada")&gt;0))),L19&amp;" ","")&amp;IF(NOT(OR(M19="",COUNTIF($F$2:$F$25,M19)=0,COUNTIFS($F$2:$F$25,M19,$Q$2:$Q$25,"Aprobada")&gt;0,AND(Resumen!$B$15="La cursada aprobada",COUNTIFS($F$2:$F$25,M19,$Q$2:$Q$25,"Cursada aprobada")&gt;0))),M19&amp;" ","")&amp;IF(NOT(OR(N19="",COUNTIF($F$2:$F$25,N19)=0,COUNTIFS($F$2:$F$25,N19,$Q$2:$Q$25,"Aprobada")&gt;0,AND(Resumen!$B$15="La cursada aprobada",COUNTIFS($F$2:$F$25,N19,$Q$2:$Q$25,"Cursada aprobada")&gt;0))),N19&amp;" ","")&amp;IF(NOT(OR(O19="",COUNTIF($F$2:$F$25,O19)=0,COUNTIFS($F$2:$F$25,O19,$Q$2:$Q$25,"Aprobada")&gt;0,AND(Resumen!$B$15="La cursada aprobada",COUNTIFS($F$2:$F$25,O19,$Q$2:$Q$25,"Cursada aprobada")&gt;0))),O19&amp;" ","")&amp;IF(NOT(OR(P19="",COUNTIF($F$2:$F$25,P19)=0,COUNTIFS($F$2:$F$25,P19,$Q$2:$Q$25,"Aprobada")&gt;0,AND(Resumen!$B$15="La cursada aprobada",COUNTIFS($F$2:$F$25,P19,$Q$2:$Q$25,"Cursada aprobada")&gt;0))),P19&amp;" ",""))</f>
        <v>3004 3000</v>
      </c>
      <c r="T19" s="9" t="str">
        <f aca="false">IF(Q19="Cursada aprobada",IF(AND(OR(L19="",COUNTIF($F$2:$F$25,L19)=0,COUNTIFS($F$2:$F$25,L19,$Q$2:$Q$25,"Aprobada")&gt;0),OR(M19="",COUNTIF($F$2:$F$25,M19)=0,COUNTIFS($F$2:$F$25,M19,$Q$2:$Q$25,"Aprobada")&gt;0),OR(N19="",COUNTIF($F$2:$F$25,N19)=0,COUNTIFS($F$2:$F$25,N19,$Q$2:$Q$25,"Aprobada")&gt;0),OR(O19="",COUNTIF($F$2:$F$25,O19)=0,COUNTIFS($F$2:$F$25,O19,$Q$2:$Q$25,"Aprobada")&gt;0),OR(P19="",COUNTIF($F$2:$F$25,P19)=0,COUNTIFS($F$2:$F$25,P19,$Q$2:$Q$25,"Aprobada")&gt;0)),"Sí","No"),"")</f>
        <v/>
      </c>
      <c r="U19" s="9" t="str">
        <f aca="false">IF(Q19="Aprobada",TRIM(IF(NOT(OR(L19="",COUNTIF($F$2:$F$25,L19)=0,COUNTIFS($F$2:$F$25,L19,$Q$2:$Q$25,"Aprobada")&gt;0)),L19&amp;" ","")&amp;IF(NOT(OR(M19="",COUNTIF($F$2:$F$25,M19)=0,COUNTIFS($F$2:$F$25,M19,$Q$2:$Q$25,"Aprobada")&gt;0)),M19&amp;" ","")&amp;IF(NOT(OR(N19="",COUNTIF($F$2:$F$25,N19)=0,COUNTIFS($F$2:$F$25,N19,$Q$2:$Q$25,"Aprobada")&gt;0)),N19&amp;" ","")&amp;IF(NOT(OR(O19="",COUNTIF($F$2:$F$25,O19)=0,COUNTIFS($F$2:$F$25,O19,$Q$2:$Q$25,"Aprobada")&gt;0)),O19&amp;" ","")&amp;IF(NOT(OR(P19="",COUNTIF($F$2:$F$25,P19)=0,COUNTIFS($F$2:$F$25,P19,$Q$2:$Q$25,"Aprobada")&gt;0)),P19&amp;" ","")),IF(Q19="Cursada aprobada",TRIM(IF(NOT(OR(L19="",COUNTIF($F$2:$F$25,L19)=0,COUNTIFS($F$2:$F$25,L19,$Q$2:$Q$25,"Aprobada")&gt;0,AND(Resumen!$B$15="La cursada aprobada",COUNTIFS($F$2:$F$25,L19,$Q$2:$Q$25,"Cursada aprobada")&gt;0))),L19&amp;" ","")&amp;IF(NOT(OR(M19="",COUNTIF($F$2:$F$25,M19)=0,COUNTIFS($F$2:$F$25,M19,$Q$2:$Q$25,"Aprobada")&gt;0,AND(Resumen!$B$15="La cursada aprobada",COUNTIFS($F$2:$F$25,M19,$Q$2:$Q$25,"Cursada aprobada")&gt;0))),M19&amp;" ","")&amp;IF(NOT(OR(N19="",COUNTIF($F$2:$F$25,N19)=0,COUNTIFS($F$2:$F$25,N19,$Q$2:$Q$25,"Aprobada")&gt;0,AND(Resumen!$B$15="La cursada aprobada",COUNTIFS($F$2:$F$25,N19,$Q$2:$Q$25,"Cursada aprobada")&gt;0))),N19&amp;" ","")&amp;IF(NOT(OR(O19="",COUNTIF($F$2:$F$25,O19)=0,COUNTIFS($F$2:$F$25,O19,$Q$2:$Q$25,"Aprobada")&gt;0,AND(Resumen!$B$15="La cursada aprobada",COUNTIFS($F$2:$F$25,O19,$Q$2:$Q$25,"Cursada aprobada")&gt;0))),O19&amp;" ","")&amp;IF(NOT(OR(P19="",COUNTIF($F$2:$F$25,P19)=0,COUNTIFS($F$2:$F$25,P19,$Q$2:$Q$25,"Aprobada")&gt;0,AND(Resumen!$B$15="La cursada aprobada",COUNTIFS($F$2:$F$25,P19,$Q$2:$Q$25,"Cursada aprobada")&gt;0))),P19&amp;" ","")),""))</f>
        <v/>
      </c>
    </row>
    <row r="20" customFormat="false" ht="15" hidden="false" customHeight="false" outlineLevel="0" collapsed="false">
      <c r="A20" s="8" t="s">
        <v>240</v>
      </c>
      <c r="B20" s="8"/>
      <c r="C20" s="9" t="n">
        <v>3</v>
      </c>
      <c r="D20" s="9" t="s">
        <v>243</v>
      </c>
      <c r="E20" s="9" t="s">
        <v>67</v>
      </c>
      <c r="F20" s="9" t="n">
        <v>3007</v>
      </c>
      <c r="G20" s="8" t="s">
        <v>253</v>
      </c>
      <c r="H20" s="9" t="s">
        <v>61</v>
      </c>
      <c r="I20" s="9" t="n">
        <v>6</v>
      </c>
      <c r="J20" s="9"/>
      <c r="K20" s="9" t="n">
        <v>96</v>
      </c>
      <c r="L20" s="9" t="n">
        <v>3006</v>
      </c>
      <c r="M20" s="9" t="n">
        <v>3001</v>
      </c>
      <c r="N20" s="9" t="n">
        <v>425</v>
      </c>
      <c r="O20" s="9"/>
      <c r="P20" s="9"/>
      <c r="Q20" s="10" t="s">
        <v>62</v>
      </c>
      <c r="R20" s="9" t="str">
        <f aca="false">IF(Q20="Aprobada","Ya aprobada",IF(Q20="Cursada aprobada","Ya cursada",IF(AND(OR(L20="",COUNTIF($F$2:$F$25,L20)=0,COUNTIFS($F$2:$F$25,L20,$Q$2:$Q$25,"Aprobada")&gt;0,AND(Resumen!$B$15="La cursada aprobada",COUNTIFS($F$2:$F$25,L20,$Q$2:$Q$25,"Cursada aprobada")&gt;0)),OR(M20="",COUNTIF($F$2:$F$25,M20)=0,COUNTIFS($F$2:$F$25,M20,$Q$2:$Q$25,"Aprobada")&gt;0,AND(Resumen!$B$15="La cursada aprobada",COUNTIFS($F$2:$F$25,M20,$Q$2:$Q$25,"Cursada aprobada")&gt;0)),OR(N20="",COUNTIF($F$2:$F$25,N20)=0,COUNTIFS($F$2:$F$25,N20,$Q$2:$Q$25,"Aprobada")&gt;0,AND(Resumen!$B$15="La cursada aprobada",COUNTIFS($F$2:$F$25,N20,$Q$2:$Q$25,"Cursada aprobada")&gt;0)),OR(O20="",COUNTIF($F$2:$F$25,O20)=0,COUNTIFS($F$2:$F$25,O20,$Q$2:$Q$25,"Aprobada")&gt;0,AND(Resumen!$B$15="La cursada aprobada",COUNTIFS($F$2:$F$25,O20,$Q$2:$Q$25,"Cursada aprobada")&gt;0)),OR(P20="",COUNTIF($F$2:$F$25,P20)=0,COUNTIFS($F$2:$F$25,P20,$Q$2:$Q$25,"Aprobada")&gt;0,AND(Resumen!$B$15="La cursada aprobada",COUNTIFS($F$2:$F$25,P20,$Q$2:$Q$25,"Cursada aprobada")&gt;0))),"Sí","No")))</f>
        <v>No</v>
      </c>
      <c r="S20" s="8" t="str">
        <f aca="false">TRIM(IF(NOT(OR(L20="",COUNTIF($F$2:$F$25,L20)=0,COUNTIFS($F$2:$F$25,L20,$Q$2:$Q$25,"Aprobada")&gt;0,AND(Resumen!$B$15="La cursada aprobada",COUNTIFS($F$2:$F$25,L20,$Q$2:$Q$25,"Cursada aprobada")&gt;0))),L20&amp;" ","")&amp;IF(NOT(OR(M20="",COUNTIF($F$2:$F$25,M20)=0,COUNTIFS($F$2:$F$25,M20,$Q$2:$Q$25,"Aprobada")&gt;0,AND(Resumen!$B$15="La cursada aprobada",COUNTIFS($F$2:$F$25,M20,$Q$2:$Q$25,"Cursada aprobada")&gt;0))),M20&amp;" ","")&amp;IF(NOT(OR(N20="",COUNTIF($F$2:$F$25,N20)=0,COUNTIFS($F$2:$F$25,N20,$Q$2:$Q$25,"Aprobada")&gt;0,AND(Resumen!$B$15="La cursada aprobada",COUNTIFS($F$2:$F$25,N20,$Q$2:$Q$25,"Cursada aprobada")&gt;0))),N20&amp;" ","")&amp;IF(NOT(OR(O20="",COUNTIF($F$2:$F$25,O20)=0,COUNTIFS($F$2:$F$25,O20,$Q$2:$Q$25,"Aprobada")&gt;0,AND(Resumen!$B$15="La cursada aprobada",COUNTIFS($F$2:$F$25,O20,$Q$2:$Q$25,"Cursada aprobada")&gt;0))),O20&amp;" ","")&amp;IF(NOT(OR(P20="",COUNTIF($F$2:$F$25,P20)=0,COUNTIFS($F$2:$F$25,P20,$Q$2:$Q$25,"Aprobada")&gt;0,AND(Resumen!$B$15="La cursada aprobada",COUNTIFS($F$2:$F$25,P20,$Q$2:$Q$25,"Cursada aprobada")&gt;0))),P20&amp;" ",""))</f>
        <v>3006 3001 425</v>
      </c>
      <c r="T20" s="9" t="str">
        <f aca="false">IF(Q20="Cursada aprobada",IF(AND(OR(L20="",COUNTIF($F$2:$F$25,L20)=0,COUNTIFS($F$2:$F$25,L20,$Q$2:$Q$25,"Aprobada")&gt;0),OR(M20="",COUNTIF($F$2:$F$25,M20)=0,COUNTIFS($F$2:$F$25,M20,$Q$2:$Q$25,"Aprobada")&gt;0),OR(N20="",COUNTIF($F$2:$F$25,N20)=0,COUNTIFS($F$2:$F$25,N20,$Q$2:$Q$25,"Aprobada")&gt;0),OR(O20="",COUNTIF($F$2:$F$25,O20)=0,COUNTIFS($F$2:$F$25,O20,$Q$2:$Q$25,"Aprobada")&gt;0),OR(P20="",COUNTIF($F$2:$F$25,P20)=0,COUNTIFS($F$2:$F$25,P20,$Q$2:$Q$25,"Aprobada")&gt;0)),"Sí","No"),"")</f>
        <v/>
      </c>
      <c r="U20" s="9" t="str">
        <f aca="false">IF(Q20="Aprobada",TRIM(IF(NOT(OR(L20="",COUNTIF($F$2:$F$25,L20)=0,COUNTIFS($F$2:$F$25,L20,$Q$2:$Q$25,"Aprobada")&gt;0)),L20&amp;" ","")&amp;IF(NOT(OR(M20="",COUNTIF($F$2:$F$25,M20)=0,COUNTIFS($F$2:$F$25,M20,$Q$2:$Q$25,"Aprobada")&gt;0)),M20&amp;" ","")&amp;IF(NOT(OR(N20="",COUNTIF($F$2:$F$25,N20)=0,COUNTIFS($F$2:$F$25,N20,$Q$2:$Q$25,"Aprobada")&gt;0)),N20&amp;" ","")&amp;IF(NOT(OR(O20="",COUNTIF($F$2:$F$25,O20)=0,COUNTIFS($F$2:$F$25,O20,$Q$2:$Q$25,"Aprobada")&gt;0)),O20&amp;" ","")&amp;IF(NOT(OR(P20="",COUNTIF($F$2:$F$25,P20)=0,COUNTIFS($F$2:$F$25,P20,$Q$2:$Q$25,"Aprobada")&gt;0)),P20&amp;" ","")),IF(Q20="Cursada aprobada",TRIM(IF(NOT(OR(L20="",COUNTIF($F$2:$F$25,L20)=0,COUNTIFS($F$2:$F$25,L20,$Q$2:$Q$25,"Aprobada")&gt;0,AND(Resumen!$B$15="La cursada aprobada",COUNTIFS($F$2:$F$25,L20,$Q$2:$Q$25,"Cursada aprobada")&gt;0))),L20&amp;" ","")&amp;IF(NOT(OR(M20="",COUNTIF($F$2:$F$25,M20)=0,COUNTIFS($F$2:$F$25,M20,$Q$2:$Q$25,"Aprobada")&gt;0,AND(Resumen!$B$15="La cursada aprobada",COUNTIFS($F$2:$F$25,M20,$Q$2:$Q$25,"Cursada aprobada")&gt;0))),M20&amp;" ","")&amp;IF(NOT(OR(N20="",COUNTIF($F$2:$F$25,N20)=0,COUNTIFS($F$2:$F$25,N20,$Q$2:$Q$25,"Aprobada")&gt;0,AND(Resumen!$B$15="La cursada aprobada",COUNTIFS($F$2:$F$25,N20,$Q$2:$Q$25,"Cursada aprobada")&gt;0))),N20&amp;" ","")&amp;IF(NOT(OR(O20="",COUNTIF($F$2:$F$25,O20)=0,COUNTIFS($F$2:$F$25,O20,$Q$2:$Q$25,"Aprobada")&gt;0,AND(Resumen!$B$15="La cursada aprobada",COUNTIFS($F$2:$F$25,O20,$Q$2:$Q$25,"Cursada aprobada")&gt;0))),O20&amp;" ","")&amp;IF(NOT(OR(P20="",COUNTIF($F$2:$F$25,P20)=0,COUNTIFS($F$2:$F$25,P20,$Q$2:$Q$25,"Aprobada")&gt;0,AND(Resumen!$B$15="La cursada aprobada",COUNTIFS($F$2:$F$25,P20,$Q$2:$Q$25,"Cursada aprobada")&gt;0))),P20&amp;" ","")),""))</f>
        <v/>
      </c>
    </row>
    <row r="21" customFormat="false" ht="15" hidden="false" customHeight="false" outlineLevel="0" collapsed="false">
      <c r="A21" s="8" t="s">
        <v>116</v>
      </c>
      <c r="B21" s="8"/>
      <c r="C21" s="9"/>
      <c r="D21" s="9"/>
      <c r="E21" s="9" t="s">
        <v>63</v>
      </c>
      <c r="F21" s="9" t="n">
        <v>300</v>
      </c>
      <c r="G21" s="8" t="s">
        <v>118</v>
      </c>
      <c r="H21" s="9"/>
      <c r="I21" s="9"/>
      <c r="J21" s="9"/>
      <c r="K21" s="9" t="n">
        <v>32</v>
      </c>
      <c r="L21" s="9"/>
      <c r="M21" s="9"/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cursada",IF(AND(OR(L21="",COUNTIF($F$2:$F$25,L21)=0,COUNTIFS($F$2:$F$25,L21,$Q$2:$Q$25,"Aprobada")&gt;0,AND(Resumen!$B$15="La cursada aprobada",COUNTIFS($F$2:$F$25,L21,$Q$2:$Q$25,"Cursada aprobada")&gt;0)),OR(M21="",COUNTIF($F$2:$F$25,M21)=0,COUNTIFS($F$2:$F$25,M21,$Q$2:$Q$25,"Aprobada")&gt;0,AND(Resumen!$B$15="La cursada aprobada",COUNTIFS($F$2:$F$25,M21,$Q$2:$Q$25,"Cursada aprobada")&gt;0)),OR(N21="",COUNTIF($F$2:$F$25,N21)=0,COUNTIFS($F$2:$F$25,N21,$Q$2:$Q$25,"Aprobada")&gt;0,AND(Resumen!$B$15="La cursada aprobada",COUNTIFS($F$2:$F$25,N21,$Q$2:$Q$25,"Cursada aprobada")&gt;0)),OR(O21="",COUNTIF($F$2:$F$25,O21)=0,COUNTIFS($F$2:$F$25,O21,$Q$2:$Q$25,"Aprobada")&gt;0,AND(Resumen!$B$15="La cursada aprobada",COUNTIFS($F$2:$F$25,O21,$Q$2:$Q$25,"Cursada aprobada")&gt;0)),OR(P21="",COUNTIF($F$2:$F$25,P21)=0,COUNTIFS($F$2:$F$25,P21,$Q$2:$Q$25,"Aprobada")&gt;0,AND(Resumen!$B$15="La cursada aprobada",COUNTIFS($F$2:$F$25,P21,$Q$2:$Q$25,"Cursada aprobada")&gt;0))),"Sí","No")))</f>
        <v>Sí</v>
      </c>
      <c r="S21" s="8" t="str">
        <f aca="false">TRIM(IF(NOT(OR(L21="",COUNTIF($F$2:$F$25,L21)=0,COUNTIFS($F$2:$F$25,L21,$Q$2:$Q$25,"Aprobada")&gt;0,AND(Resumen!$B$15="La cursada aprobada",COUNTIFS($F$2:$F$25,L21,$Q$2:$Q$25,"Cursada aprobada")&gt;0))),L21&amp;" ","")&amp;IF(NOT(OR(M21="",COUNTIF($F$2:$F$25,M21)=0,COUNTIFS($F$2:$F$25,M21,$Q$2:$Q$25,"Aprobada")&gt;0,AND(Resumen!$B$15="La cursada aprobada",COUNTIFS($F$2:$F$25,M21,$Q$2:$Q$25,"Cursada aprobada")&gt;0))),M21&amp;" ","")&amp;IF(NOT(OR(N21="",COUNTIF($F$2:$F$25,N21)=0,COUNTIFS($F$2:$F$25,N21,$Q$2:$Q$25,"Aprobada")&gt;0,AND(Resumen!$B$15="La cursada aprobada",COUNTIFS($F$2:$F$25,N21,$Q$2:$Q$25,"Cursada aprobada")&gt;0))),N21&amp;" ","")&amp;IF(NOT(OR(O21="",COUNTIF($F$2:$F$25,O21)=0,COUNTIFS($F$2:$F$25,O21,$Q$2:$Q$25,"Aprobada")&gt;0,AND(Resumen!$B$15="La cursada aprobada",COUNTIFS($F$2:$F$25,O21,$Q$2:$Q$25,"Cursada aprobada")&gt;0))),O21&amp;" ","")&amp;IF(NOT(OR(P21="",COUNTIF($F$2:$F$25,P21)=0,COUNTIFS($F$2:$F$25,P21,$Q$2:$Q$25,"Aprobada")&gt;0,AND(Resumen!$B$15="La cursada aprobada",COUNTIFS($F$2:$F$25,P21,$Q$2:$Q$25,"Cursada aprobada")&gt;0))),P21&amp;" ",""))</f>
        <v/>
      </c>
      <c r="T21" s="9" t="str">
        <f aca="false">IF(Q21="Cursada aprobada",IF(AND(OR(L21="",COUNTIF($F$2:$F$25,L21)=0,COUNTIFS($F$2:$F$25,L21,$Q$2:$Q$25,"Aprobada")&gt;0),OR(M21="",COUNTIF($F$2:$F$25,M21)=0,COUNTIFS($F$2:$F$25,M21,$Q$2:$Q$25,"Aprobada")&gt;0),OR(N21="",COUNTIF($F$2:$F$25,N21)=0,COUNTIFS($F$2:$F$25,N21,$Q$2:$Q$25,"Aprobada")&gt;0),OR(O21="",COUNTIF($F$2:$F$25,O21)=0,COUNTIFS($F$2:$F$25,O21,$Q$2:$Q$25,"Aprobada")&gt;0),OR(P21="",COUNTIF($F$2:$F$25,P21)=0,COUNTIFS($F$2:$F$25,P21,$Q$2:$Q$25,"Aprobada")&gt;0)),"Sí","No"),"")</f>
        <v/>
      </c>
      <c r="U21" s="9" t="str">
        <f aca="false">IF(Q21="Aprobada",TRIM(IF(NOT(OR(L21="",COUNTIF($F$2:$F$25,L21)=0,COUNTIFS($F$2:$F$25,L21,$Q$2:$Q$25,"Aprobada")&gt;0)),L21&amp;" ","")&amp;IF(NOT(OR(M21="",COUNTIF($F$2:$F$25,M21)=0,COUNTIFS($F$2:$F$25,M21,$Q$2:$Q$25,"Aprobada")&gt;0)),M21&amp;" ","")&amp;IF(NOT(OR(N21="",COUNTIF($F$2:$F$25,N21)=0,COUNTIFS($F$2:$F$25,N21,$Q$2:$Q$25,"Aprobada")&gt;0)),N21&amp;" ","")&amp;IF(NOT(OR(O21="",COUNTIF($F$2:$F$25,O21)=0,COUNTIFS($F$2:$F$25,O21,$Q$2:$Q$25,"Aprobada")&gt;0)),O21&amp;" ","")&amp;IF(NOT(OR(P21="",COUNTIF($F$2:$F$25,P21)=0,COUNTIFS($F$2:$F$25,P21,$Q$2:$Q$25,"Aprobada")&gt;0)),P21&amp;" ","")),IF(Q21="Cursada aprobada",TRIM(IF(NOT(OR(L21="",COUNTIF($F$2:$F$25,L21)=0,COUNTIFS($F$2:$F$25,L21,$Q$2:$Q$25,"Aprobada")&gt;0,AND(Resumen!$B$15="La cursada aprobada",COUNTIFS($F$2:$F$25,L21,$Q$2:$Q$25,"Cursada aprobada")&gt;0))),L21&amp;" ","")&amp;IF(NOT(OR(M21="",COUNTIF($F$2:$F$25,M21)=0,COUNTIFS($F$2:$F$25,M21,$Q$2:$Q$25,"Aprobada")&gt;0,AND(Resumen!$B$15="La cursada aprobada",COUNTIFS($F$2:$F$25,M21,$Q$2:$Q$25,"Cursada aprobada")&gt;0))),M21&amp;" ","")&amp;IF(NOT(OR(N21="",COUNTIF($F$2:$F$25,N21)=0,COUNTIFS($F$2:$F$25,N21,$Q$2:$Q$25,"Aprobada")&gt;0,AND(Resumen!$B$15="La cursada aprobada",COUNTIFS($F$2:$F$25,N21,$Q$2:$Q$25,"Cursada aprobada")&gt;0))),N21&amp;" ","")&amp;IF(NOT(OR(O21="",COUNTIF($F$2:$F$25,O21)=0,COUNTIFS($F$2:$F$25,O21,$Q$2:$Q$25,"Aprobada")&gt;0,AND(Resumen!$B$15="La cursada aprobada",COUNTIFS($F$2:$F$25,O21,$Q$2:$Q$25,"Cursada aprobada")&gt;0))),O21&amp;" ","")&amp;IF(NOT(OR(P21="",COUNTIF($F$2:$F$25,P21)=0,COUNTIFS($F$2:$F$25,P21,$Q$2:$Q$25,"Aprobada")&gt;0,AND(Resumen!$B$15="La cursada aprobada",COUNTIFS($F$2:$F$25,P21,$Q$2:$Q$25,"Cursada aprobada")&gt;0))),P21&amp;" ","")),""))</f>
        <v/>
      </c>
    </row>
    <row r="22" customFormat="false" ht="15" hidden="false" customHeight="false" outlineLevel="0" collapsed="false">
      <c r="A22" s="8" t="s">
        <v>116</v>
      </c>
      <c r="B22" s="8"/>
      <c r="C22" s="9"/>
      <c r="D22" s="9"/>
      <c r="E22" s="9" t="s">
        <v>99</v>
      </c>
      <c r="F22" s="9" t="n">
        <v>299</v>
      </c>
      <c r="G22" s="8" t="s">
        <v>254</v>
      </c>
      <c r="H22" s="9"/>
      <c r="I22" s="9"/>
      <c r="J22" s="9"/>
      <c r="K22" s="9" t="n">
        <v>32</v>
      </c>
      <c r="L22" s="9" t="n">
        <v>300</v>
      </c>
      <c r="M22" s="9" t="n">
        <v>103</v>
      </c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cursada",IF(AND(OR(L22="",COUNTIF($F$2:$F$25,L22)=0,COUNTIFS($F$2:$F$25,L22,$Q$2:$Q$25,"Aprobada")&gt;0,AND(Resumen!$B$15="La cursada aprobada",COUNTIFS($F$2:$F$25,L22,$Q$2:$Q$25,"Cursada aprobada")&gt;0)),OR(M22="",COUNTIF($F$2:$F$25,M22)=0,COUNTIFS($F$2:$F$25,M22,$Q$2:$Q$25,"Aprobada")&gt;0,AND(Resumen!$B$15="La cursada aprobada",COUNTIFS($F$2:$F$25,M22,$Q$2:$Q$25,"Cursada aprobada")&gt;0)),OR(N22="",COUNTIF($F$2:$F$25,N22)=0,COUNTIFS($F$2:$F$25,N22,$Q$2:$Q$25,"Aprobada")&gt;0,AND(Resumen!$B$15="La cursada aprobada",COUNTIFS($F$2:$F$25,N22,$Q$2:$Q$25,"Cursada aprobada")&gt;0)),OR(O22="",COUNTIF($F$2:$F$25,O22)=0,COUNTIFS($F$2:$F$25,O22,$Q$2:$Q$25,"Aprobada")&gt;0,AND(Resumen!$B$15="La cursada aprobada",COUNTIFS($F$2:$F$25,O22,$Q$2:$Q$25,"Cursada aprobada")&gt;0)),OR(P22="",COUNTIF($F$2:$F$25,P22)=0,COUNTIFS($F$2:$F$25,P22,$Q$2:$Q$25,"Aprobada")&gt;0,AND(Resumen!$B$15="La cursada aprobada",COUNTIFS($F$2:$F$25,P22,$Q$2:$Q$25,"Cursada aprobada")&gt;0))),"Sí","No")))</f>
        <v>No</v>
      </c>
      <c r="S22" s="8" t="str">
        <f aca="false">TRIM(IF(NOT(OR(L22="",COUNTIF($F$2:$F$25,L22)=0,COUNTIFS($F$2:$F$25,L22,$Q$2:$Q$25,"Aprobada")&gt;0,AND(Resumen!$B$15="La cursada aprobada",COUNTIFS($F$2:$F$25,L22,$Q$2:$Q$25,"Cursada aprobada")&gt;0))),L22&amp;" ","")&amp;IF(NOT(OR(M22="",COUNTIF($F$2:$F$25,M22)=0,COUNTIFS($F$2:$F$25,M22,$Q$2:$Q$25,"Aprobada")&gt;0,AND(Resumen!$B$15="La cursada aprobada",COUNTIFS($F$2:$F$25,M22,$Q$2:$Q$25,"Cursada aprobada")&gt;0))),M22&amp;" ","")&amp;IF(NOT(OR(N22="",COUNTIF($F$2:$F$25,N22)=0,COUNTIFS($F$2:$F$25,N22,$Q$2:$Q$25,"Aprobada")&gt;0,AND(Resumen!$B$15="La cursada aprobada",COUNTIFS($F$2:$F$25,N22,$Q$2:$Q$25,"Cursada aprobada")&gt;0))),N22&amp;" ","")&amp;IF(NOT(OR(O22="",COUNTIF($F$2:$F$25,O22)=0,COUNTIFS($F$2:$F$25,O22,$Q$2:$Q$25,"Aprobada")&gt;0,AND(Resumen!$B$15="La cursada aprobada",COUNTIFS($F$2:$F$25,O22,$Q$2:$Q$25,"Cursada aprobada")&gt;0))),O22&amp;" ","")&amp;IF(NOT(OR(P22="",COUNTIF($F$2:$F$25,P22)=0,COUNTIFS($F$2:$F$25,P22,$Q$2:$Q$25,"Aprobada")&gt;0,AND(Resumen!$B$15="La cursada aprobada",COUNTIFS($F$2:$F$25,P22,$Q$2:$Q$25,"Cursada aprobada")&gt;0))),P22&amp;" ",""))</f>
        <v>300 103</v>
      </c>
      <c r="T22" s="9" t="str">
        <f aca="false">IF(Q22="Cursada aprobada",IF(AND(OR(L22="",COUNTIF($F$2:$F$25,L22)=0,COUNTIFS($F$2:$F$25,L22,$Q$2:$Q$25,"Aprobada")&gt;0),OR(M22="",COUNTIF($F$2:$F$25,M22)=0,COUNTIFS($F$2:$F$25,M22,$Q$2:$Q$25,"Aprobada")&gt;0),OR(N22="",COUNTIF($F$2:$F$25,N22)=0,COUNTIFS($F$2:$F$25,N22,$Q$2:$Q$25,"Aprobada")&gt;0),OR(O22="",COUNTIF($F$2:$F$25,O22)=0,COUNTIFS($F$2:$F$25,O22,$Q$2:$Q$25,"Aprobada")&gt;0),OR(P22="",COUNTIF($F$2:$F$25,P22)=0,COUNTIFS($F$2:$F$25,P22,$Q$2:$Q$25,"Aprobada")&gt;0)),"Sí","No"),"")</f>
        <v/>
      </c>
      <c r="U22" s="9" t="str">
        <f aca="false">IF(Q22="Aprobada",TRIM(IF(NOT(OR(L22="",COUNTIF($F$2:$F$25,L22)=0,COUNTIFS($F$2:$F$25,L22,$Q$2:$Q$25,"Aprobada")&gt;0)),L22&amp;" ","")&amp;IF(NOT(OR(M22="",COUNTIF($F$2:$F$25,M22)=0,COUNTIFS($F$2:$F$25,M22,$Q$2:$Q$25,"Aprobada")&gt;0)),M22&amp;" ","")&amp;IF(NOT(OR(N22="",COUNTIF($F$2:$F$25,N22)=0,COUNTIFS($F$2:$F$25,N22,$Q$2:$Q$25,"Aprobada")&gt;0)),N22&amp;" ","")&amp;IF(NOT(OR(O22="",COUNTIF($F$2:$F$25,O22)=0,COUNTIFS($F$2:$F$25,O22,$Q$2:$Q$25,"Aprobada")&gt;0)),O22&amp;" ","")&amp;IF(NOT(OR(P22="",COUNTIF($F$2:$F$25,P22)=0,COUNTIFS($F$2:$F$25,P22,$Q$2:$Q$25,"Aprobada")&gt;0)),P22&amp;" ","")),IF(Q22="Cursada aprobada",TRIM(IF(NOT(OR(L22="",COUNTIF($F$2:$F$25,L22)=0,COUNTIFS($F$2:$F$25,L22,$Q$2:$Q$25,"Aprobada")&gt;0,AND(Resumen!$B$15="La cursada aprobada",COUNTIFS($F$2:$F$25,L22,$Q$2:$Q$25,"Cursada aprobada")&gt;0))),L22&amp;" ","")&amp;IF(NOT(OR(M22="",COUNTIF($F$2:$F$25,M22)=0,COUNTIFS($F$2:$F$25,M22,$Q$2:$Q$25,"Aprobada")&gt;0,AND(Resumen!$B$15="La cursada aprobada",COUNTIFS($F$2:$F$25,M22,$Q$2:$Q$25,"Cursada aprobada")&gt;0))),M22&amp;" ","")&amp;IF(NOT(OR(N22="",COUNTIF($F$2:$F$25,N22)=0,COUNTIFS($F$2:$F$25,N22,$Q$2:$Q$25,"Aprobada")&gt;0,AND(Resumen!$B$15="La cursada aprobada",COUNTIFS($F$2:$F$25,N22,$Q$2:$Q$25,"Cursada aprobada")&gt;0))),N22&amp;" ","")&amp;IF(NOT(OR(O22="",COUNTIF($F$2:$F$25,O22)=0,COUNTIFS($F$2:$F$25,O22,$Q$2:$Q$25,"Aprobada")&gt;0,AND(Resumen!$B$15="La cursada aprobada",COUNTIFS($F$2:$F$25,O22,$Q$2:$Q$25,"Cursada aprobada")&gt;0))),O22&amp;" ","")&amp;IF(NOT(OR(P22="",COUNTIF($F$2:$F$25,P22)=0,COUNTIFS($F$2:$F$25,P22,$Q$2:$Q$25,"Aprobada")&gt;0,AND(Resumen!$B$15="La cursada aprobada",COUNTIFS($F$2:$F$25,P22,$Q$2:$Q$25,"Cursada aprobada")&gt;0))),P22&amp;" ","")),""))</f>
        <v/>
      </c>
    </row>
    <row r="23" customFormat="false" ht="15" hidden="false" customHeight="false" outlineLevel="0" collapsed="false">
      <c r="A23" s="8" t="s">
        <v>116</v>
      </c>
      <c r="B23" s="8"/>
      <c r="C23" s="9"/>
      <c r="D23" s="9"/>
      <c r="E23" s="9" t="s">
        <v>67</v>
      </c>
      <c r="F23" s="9" t="n">
        <v>3009</v>
      </c>
      <c r="G23" s="8" t="s">
        <v>255</v>
      </c>
      <c r="H23" s="9"/>
      <c r="I23" s="9"/>
      <c r="J23" s="9"/>
      <c r="K23" s="9" t="n">
        <v>48</v>
      </c>
      <c r="L23" s="9" t="n">
        <v>3006</v>
      </c>
      <c r="M23" s="9"/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cursada",IF(AND(OR(L23="",COUNTIF($F$2:$F$25,L23)=0,COUNTIFS($F$2:$F$25,L23,$Q$2:$Q$25,"Aprobada")&gt;0,AND(Resumen!$B$15="La cursada aprobada",COUNTIFS($F$2:$F$25,L23,$Q$2:$Q$25,"Cursada aprobada")&gt;0)),OR(M23="",COUNTIF($F$2:$F$25,M23)=0,COUNTIFS($F$2:$F$25,M23,$Q$2:$Q$25,"Aprobada")&gt;0,AND(Resumen!$B$15="La cursada aprobada",COUNTIFS($F$2:$F$25,M23,$Q$2:$Q$25,"Cursada aprobada")&gt;0)),OR(N23="",COUNTIF($F$2:$F$25,N23)=0,COUNTIFS($F$2:$F$25,N23,$Q$2:$Q$25,"Aprobada")&gt;0,AND(Resumen!$B$15="La cursada aprobada",COUNTIFS($F$2:$F$25,N23,$Q$2:$Q$25,"Cursada aprobada")&gt;0)),OR(O23="",COUNTIF($F$2:$F$25,O23)=0,COUNTIFS($F$2:$F$25,O23,$Q$2:$Q$25,"Aprobada")&gt;0,AND(Resumen!$B$15="La cursada aprobada",COUNTIFS($F$2:$F$25,O23,$Q$2:$Q$25,"Cursada aprobada")&gt;0)),OR(P23="",COUNTIF($F$2:$F$25,P23)=0,COUNTIFS($F$2:$F$25,P23,$Q$2:$Q$25,"Aprobada")&gt;0,AND(Resumen!$B$15="La cursada aprobada",COUNTIFS($F$2:$F$25,P23,$Q$2:$Q$25,"Cursada aprobada")&gt;0))),"Sí","No")))</f>
        <v>No</v>
      </c>
      <c r="S23" s="8" t="str">
        <f aca="false">TRIM(IF(NOT(OR(L23="",COUNTIF($F$2:$F$25,L23)=0,COUNTIFS($F$2:$F$25,L23,$Q$2:$Q$25,"Aprobada")&gt;0,AND(Resumen!$B$15="La cursada aprobada",COUNTIFS($F$2:$F$25,L23,$Q$2:$Q$25,"Cursada aprobada")&gt;0))),L23&amp;" ","")&amp;IF(NOT(OR(M23="",COUNTIF($F$2:$F$25,M23)=0,COUNTIFS($F$2:$F$25,M23,$Q$2:$Q$25,"Aprobada")&gt;0,AND(Resumen!$B$15="La cursada aprobada",COUNTIFS($F$2:$F$25,M23,$Q$2:$Q$25,"Cursada aprobada")&gt;0))),M23&amp;" ","")&amp;IF(NOT(OR(N23="",COUNTIF($F$2:$F$25,N23)=0,COUNTIFS($F$2:$F$25,N23,$Q$2:$Q$25,"Aprobada")&gt;0,AND(Resumen!$B$15="La cursada aprobada",COUNTIFS($F$2:$F$25,N23,$Q$2:$Q$25,"Cursada aprobada")&gt;0))),N23&amp;" ","")&amp;IF(NOT(OR(O23="",COUNTIF($F$2:$F$25,O23)=0,COUNTIFS($F$2:$F$25,O23,$Q$2:$Q$25,"Aprobada")&gt;0,AND(Resumen!$B$15="La cursada aprobada",COUNTIFS($F$2:$F$25,O23,$Q$2:$Q$25,"Cursada aprobada")&gt;0))),O23&amp;" ","")&amp;IF(NOT(OR(P23="",COUNTIF($F$2:$F$25,P23)=0,COUNTIFS($F$2:$F$25,P23,$Q$2:$Q$25,"Aprobada")&gt;0,AND(Resumen!$B$15="La cursada aprobada",COUNTIFS($F$2:$F$25,P23,$Q$2:$Q$25,"Cursada aprobada")&gt;0))),P23&amp;" ",""))</f>
        <v>3006</v>
      </c>
      <c r="T23" s="9" t="str">
        <f aca="false">IF(Q23="Cursada aprobada",IF(AND(OR(L23="",COUNTIF($F$2:$F$25,L23)=0,COUNTIFS($F$2:$F$25,L23,$Q$2:$Q$25,"Aprobada")&gt;0),OR(M23="",COUNTIF($F$2:$F$25,M23)=0,COUNTIFS($F$2:$F$25,M23,$Q$2:$Q$25,"Aprobada")&gt;0),OR(N23="",COUNTIF($F$2:$F$25,N23)=0,COUNTIFS($F$2:$F$25,N23,$Q$2:$Q$25,"Aprobada")&gt;0),OR(O23="",COUNTIF($F$2:$F$25,O23)=0,COUNTIFS($F$2:$F$25,O23,$Q$2:$Q$25,"Aprobada")&gt;0),OR(P23="",COUNTIF($F$2:$F$25,P23)=0,COUNTIFS($F$2:$F$25,P23,$Q$2:$Q$25,"Aprobada")&gt;0)),"Sí","No"),"")</f>
        <v/>
      </c>
      <c r="U23" s="9" t="str">
        <f aca="false">IF(Q23="Aprobada",TRIM(IF(NOT(OR(L23="",COUNTIF($F$2:$F$25,L23)=0,COUNTIFS($F$2:$F$25,L23,$Q$2:$Q$25,"Aprobada")&gt;0)),L23&amp;" ","")&amp;IF(NOT(OR(M23="",COUNTIF($F$2:$F$25,M23)=0,COUNTIFS($F$2:$F$25,M23,$Q$2:$Q$25,"Aprobada")&gt;0)),M23&amp;" ","")&amp;IF(NOT(OR(N23="",COUNTIF($F$2:$F$25,N23)=0,COUNTIFS($F$2:$F$25,N23,$Q$2:$Q$25,"Aprobada")&gt;0)),N23&amp;" ","")&amp;IF(NOT(OR(O23="",COUNTIF($F$2:$F$25,O23)=0,COUNTIFS($F$2:$F$25,O23,$Q$2:$Q$25,"Aprobada")&gt;0)),O23&amp;" ","")&amp;IF(NOT(OR(P23="",COUNTIF($F$2:$F$25,P23)=0,COUNTIFS($F$2:$F$25,P23,$Q$2:$Q$25,"Aprobada")&gt;0)),P23&amp;" ","")),IF(Q23="Cursada aprobada",TRIM(IF(NOT(OR(L23="",COUNTIF($F$2:$F$25,L23)=0,COUNTIFS($F$2:$F$25,L23,$Q$2:$Q$25,"Aprobada")&gt;0,AND(Resumen!$B$15="La cursada aprobada",COUNTIFS($F$2:$F$25,L23,$Q$2:$Q$25,"Cursada aprobada")&gt;0))),L23&amp;" ","")&amp;IF(NOT(OR(M23="",COUNTIF($F$2:$F$25,M23)=0,COUNTIFS($F$2:$F$25,M23,$Q$2:$Q$25,"Aprobada")&gt;0,AND(Resumen!$B$15="La cursada aprobada",COUNTIFS($F$2:$F$25,M23,$Q$2:$Q$25,"Cursada aprobada")&gt;0))),M23&amp;" ","")&amp;IF(NOT(OR(N23="",COUNTIF($F$2:$F$25,N23)=0,COUNTIFS($F$2:$F$25,N23,$Q$2:$Q$25,"Aprobada")&gt;0,AND(Resumen!$B$15="La cursada aprobada",COUNTIFS($F$2:$F$25,N23,$Q$2:$Q$25,"Cursada aprobada")&gt;0))),N23&amp;" ","")&amp;IF(NOT(OR(O23="",COUNTIF($F$2:$F$25,O23)=0,COUNTIFS($F$2:$F$25,O23,$Q$2:$Q$25,"Aprobada")&gt;0,AND(Resumen!$B$15="La cursada aprobada",COUNTIFS($F$2:$F$25,O23,$Q$2:$Q$25,"Cursada aprobada")&gt;0))),O23&amp;" ","")&amp;IF(NOT(OR(P23="",COUNTIF($F$2:$F$25,P23)=0,COUNTIFS($F$2:$F$25,P23,$Q$2:$Q$25,"Aprobada")&gt;0,AND(Resumen!$B$15="La cursada aprobada",COUNTIFS($F$2:$F$25,P23,$Q$2:$Q$25,"Cursada aprobada")&gt;0))),P23&amp;" ","")),""))</f>
        <v/>
      </c>
    </row>
    <row r="24" customFormat="false" ht="15" hidden="false" customHeight="false" outlineLevel="0" collapsed="false">
      <c r="A24" s="8" t="s">
        <v>116</v>
      </c>
      <c r="B24" s="8"/>
      <c r="C24" s="9"/>
      <c r="D24" s="9"/>
      <c r="E24" s="9" t="s">
        <v>67</v>
      </c>
      <c r="F24" s="9" t="n">
        <v>3008</v>
      </c>
      <c r="G24" s="8" t="s">
        <v>256</v>
      </c>
      <c r="H24" s="9"/>
      <c r="I24" s="9"/>
      <c r="J24" s="9"/>
      <c r="K24" s="9" t="n">
        <v>32</v>
      </c>
      <c r="L24" s="9" t="n">
        <v>425</v>
      </c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cursada",IF(AND(OR(L24="",COUNTIF($F$2:$F$25,L24)=0,COUNTIFS($F$2:$F$25,L24,$Q$2:$Q$25,"Aprobada")&gt;0,AND(Resumen!$B$15="La cursada aprobada",COUNTIFS($F$2:$F$25,L24,$Q$2:$Q$25,"Cursada aprobada")&gt;0)),OR(M24="",COUNTIF($F$2:$F$25,M24)=0,COUNTIFS($F$2:$F$25,M24,$Q$2:$Q$25,"Aprobada")&gt;0,AND(Resumen!$B$15="La cursada aprobada",COUNTIFS($F$2:$F$25,M24,$Q$2:$Q$25,"Cursada aprobada")&gt;0)),OR(N24="",COUNTIF($F$2:$F$25,N24)=0,COUNTIFS($F$2:$F$25,N24,$Q$2:$Q$25,"Aprobada")&gt;0,AND(Resumen!$B$15="La cursada aprobada",COUNTIFS($F$2:$F$25,N24,$Q$2:$Q$25,"Cursada aprobada")&gt;0)),OR(O24="",COUNTIF($F$2:$F$25,O24)=0,COUNTIFS($F$2:$F$25,O24,$Q$2:$Q$25,"Aprobada")&gt;0,AND(Resumen!$B$15="La cursada aprobada",COUNTIFS($F$2:$F$25,O24,$Q$2:$Q$25,"Cursada aprobada")&gt;0)),OR(P24="",COUNTIF($F$2:$F$25,P24)=0,COUNTIFS($F$2:$F$25,P24,$Q$2:$Q$25,"Aprobada")&gt;0,AND(Resumen!$B$15="La cursada aprobada",COUNTIFS($F$2:$F$25,P24,$Q$2:$Q$25,"Cursada aprobada")&gt;0))),"Sí","No")))</f>
        <v>No</v>
      </c>
      <c r="S24" s="8" t="str">
        <f aca="false">TRIM(IF(NOT(OR(L24="",COUNTIF($F$2:$F$25,L24)=0,COUNTIFS($F$2:$F$25,L24,$Q$2:$Q$25,"Aprobada")&gt;0,AND(Resumen!$B$15="La cursada aprobada",COUNTIFS($F$2:$F$25,L24,$Q$2:$Q$25,"Cursada aprobada")&gt;0))),L24&amp;" ","")&amp;IF(NOT(OR(M24="",COUNTIF($F$2:$F$25,M24)=0,COUNTIFS($F$2:$F$25,M24,$Q$2:$Q$25,"Aprobada")&gt;0,AND(Resumen!$B$15="La cursada aprobada",COUNTIFS($F$2:$F$25,M24,$Q$2:$Q$25,"Cursada aprobada")&gt;0))),M24&amp;" ","")&amp;IF(NOT(OR(N24="",COUNTIF($F$2:$F$25,N24)=0,COUNTIFS($F$2:$F$25,N24,$Q$2:$Q$25,"Aprobada")&gt;0,AND(Resumen!$B$15="La cursada aprobada",COUNTIFS($F$2:$F$25,N24,$Q$2:$Q$25,"Cursada aprobada")&gt;0))),N24&amp;" ","")&amp;IF(NOT(OR(O24="",COUNTIF($F$2:$F$25,O24)=0,COUNTIFS($F$2:$F$25,O24,$Q$2:$Q$25,"Aprobada")&gt;0,AND(Resumen!$B$15="La cursada aprobada",COUNTIFS($F$2:$F$25,O24,$Q$2:$Q$25,"Cursada aprobada")&gt;0))),O24&amp;" ","")&amp;IF(NOT(OR(P24="",COUNTIF($F$2:$F$25,P24)=0,COUNTIFS($F$2:$F$25,P24,$Q$2:$Q$25,"Aprobada")&gt;0,AND(Resumen!$B$15="La cursada aprobada",COUNTIFS($F$2:$F$25,P24,$Q$2:$Q$25,"Cursada aprobada")&gt;0))),P24&amp;" ",""))</f>
        <v>425</v>
      </c>
      <c r="T24" s="9" t="str">
        <f aca="false">IF(Q24="Cursada aprobada",IF(AND(OR(L24="",COUNTIF($F$2:$F$25,L24)=0,COUNTIFS($F$2:$F$25,L24,$Q$2:$Q$25,"Aprobada")&gt;0),OR(M24="",COUNTIF($F$2:$F$25,M24)=0,COUNTIFS($F$2:$F$25,M24,$Q$2:$Q$25,"Aprobada")&gt;0),OR(N24="",COUNTIF($F$2:$F$25,N24)=0,COUNTIFS($F$2:$F$25,N24,$Q$2:$Q$25,"Aprobada")&gt;0),OR(O24="",COUNTIF($F$2:$F$25,O24)=0,COUNTIFS($F$2:$F$25,O24,$Q$2:$Q$25,"Aprobada")&gt;0),OR(P24="",COUNTIF($F$2:$F$25,P24)=0,COUNTIFS($F$2:$F$25,P24,$Q$2:$Q$25,"Aprobada")&gt;0)),"Sí","No"),"")</f>
        <v/>
      </c>
      <c r="U24" s="9" t="str">
        <f aca="false">IF(Q24="Aprobada",TRIM(IF(NOT(OR(L24="",COUNTIF($F$2:$F$25,L24)=0,COUNTIFS($F$2:$F$25,L24,$Q$2:$Q$25,"Aprobada")&gt;0)),L24&amp;" ","")&amp;IF(NOT(OR(M24="",COUNTIF($F$2:$F$25,M24)=0,COUNTIFS($F$2:$F$25,M24,$Q$2:$Q$25,"Aprobada")&gt;0)),M24&amp;" ","")&amp;IF(NOT(OR(N24="",COUNTIF($F$2:$F$25,N24)=0,COUNTIFS($F$2:$F$25,N24,$Q$2:$Q$25,"Aprobada")&gt;0)),N24&amp;" ","")&amp;IF(NOT(OR(O24="",COUNTIF($F$2:$F$25,O24)=0,COUNTIFS($F$2:$F$25,O24,$Q$2:$Q$25,"Aprobada")&gt;0)),O24&amp;" ","")&amp;IF(NOT(OR(P24="",COUNTIF($F$2:$F$25,P24)=0,COUNTIFS($F$2:$F$25,P24,$Q$2:$Q$25,"Aprobada")&gt;0)),P24&amp;" ","")),IF(Q24="Cursada aprobada",TRIM(IF(NOT(OR(L24="",COUNTIF($F$2:$F$25,L24)=0,COUNTIFS($F$2:$F$25,L24,$Q$2:$Q$25,"Aprobada")&gt;0,AND(Resumen!$B$15="La cursada aprobada",COUNTIFS($F$2:$F$25,L24,$Q$2:$Q$25,"Cursada aprobada")&gt;0))),L24&amp;" ","")&amp;IF(NOT(OR(M24="",COUNTIF($F$2:$F$25,M24)=0,COUNTIFS($F$2:$F$25,M24,$Q$2:$Q$25,"Aprobada")&gt;0,AND(Resumen!$B$15="La cursada aprobada",COUNTIFS($F$2:$F$25,M24,$Q$2:$Q$25,"Cursada aprobada")&gt;0))),M24&amp;" ","")&amp;IF(NOT(OR(N24="",COUNTIF($F$2:$F$25,N24)=0,COUNTIFS($F$2:$F$25,N24,$Q$2:$Q$25,"Aprobada")&gt;0,AND(Resumen!$B$15="La cursada aprobada",COUNTIFS($F$2:$F$25,N24,$Q$2:$Q$25,"Cursada aprobada")&gt;0))),N24&amp;" ","")&amp;IF(NOT(OR(O24="",COUNTIF($F$2:$F$25,O24)=0,COUNTIFS($F$2:$F$25,O24,$Q$2:$Q$25,"Aprobada")&gt;0,AND(Resumen!$B$15="La cursada aprobada",COUNTIFS($F$2:$F$25,O24,$Q$2:$Q$25,"Cursada aprobada")&gt;0))),O24&amp;" ","")&amp;IF(NOT(OR(P24="",COUNTIF($F$2:$F$25,P24)=0,COUNTIFS($F$2:$F$25,P24,$Q$2:$Q$25,"Aprobada")&gt;0,AND(Resumen!$B$15="La cursada aprobada",COUNTIFS($F$2:$F$25,P24,$Q$2:$Q$25,"Cursada aprobada")&gt;0))),P24&amp;" ","")),""))</f>
        <v/>
      </c>
    </row>
    <row r="25" customFormat="false" ht="15" hidden="false" customHeight="false" outlineLevel="0" collapsed="false">
      <c r="A25" s="8" t="s">
        <v>116</v>
      </c>
      <c r="B25" s="8"/>
      <c r="C25" s="9"/>
      <c r="D25" s="9"/>
      <c r="E25" s="9" t="s">
        <v>122</v>
      </c>
      <c r="F25" s="9" t="n">
        <v>369</v>
      </c>
      <c r="G25" s="8" t="s">
        <v>123</v>
      </c>
      <c r="H25" s="9"/>
      <c r="I25" s="9"/>
      <c r="J25" s="9"/>
      <c r="K25" s="9" t="n">
        <v>50</v>
      </c>
      <c r="L25" s="9" t="n">
        <v>3003</v>
      </c>
      <c r="M25" s="9"/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cursada",IF(AND(OR(L25="",COUNTIF($F$2:$F$25,L25)=0,COUNTIFS($F$2:$F$25,L25,$Q$2:$Q$25,"Aprobada")&gt;0,AND(Resumen!$B$15="La cursada aprobada",COUNTIFS($F$2:$F$25,L25,$Q$2:$Q$25,"Cursada aprobada")&gt;0)),OR(M25="",COUNTIF($F$2:$F$25,M25)=0,COUNTIFS($F$2:$F$25,M25,$Q$2:$Q$25,"Aprobada")&gt;0,AND(Resumen!$B$15="La cursada aprobada",COUNTIFS($F$2:$F$25,M25,$Q$2:$Q$25,"Cursada aprobada")&gt;0)),OR(N25="",COUNTIF($F$2:$F$25,N25)=0,COUNTIFS($F$2:$F$25,N25,$Q$2:$Q$25,"Aprobada")&gt;0,AND(Resumen!$B$15="La cursada aprobada",COUNTIFS($F$2:$F$25,N25,$Q$2:$Q$25,"Cursada aprobada")&gt;0)),OR(O25="",COUNTIF($F$2:$F$25,O25)=0,COUNTIFS($F$2:$F$25,O25,$Q$2:$Q$25,"Aprobada")&gt;0,AND(Resumen!$B$15="La cursada aprobada",COUNTIFS($F$2:$F$25,O25,$Q$2:$Q$25,"Cursada aprobada")&gt;0)),OR(P25="",COUNTIF($F$2:$F$25,P25)=0,COUNTIFS($F$2:$F$25,P25,$Q$2:$Q$25,"Aprobada")&gt;0,AND(Resumen!$B$15="La cursada aprobada",COUNTIFS($F$2:$F$25,P25,$Q$2:$Q$25,"Cursada aprobada")&gt;0))),"Sí","No")))</f>
        <v>No</v>
      </c>
      <c r="S25" s="8" t="str">
        <f aca="false">TRIM(IF(NOT(OR(L25="",COUNTIF($F$2:$F$25,L25)=0,COUNTIFS($F$2:$F$25,L25,$Q$2:$Q$25,"Aprobada")&gt;0,AND(Resumen!$B$15="La cursada aprobada",COUNTIFS($F$2:$F$25,L25,$Q$2:$Q$25,"Cursada aprobada")&gt;0))),L25&amp;" ","")&amp;IF(NOT(OR(M25="",COUNTIF($F$2:$F$25,M25)=0,COUNTIFS($F$2:$F$25,M25,$Q$2:$Q$25,"Aprobada")&gt;0,AND(Resumen!$B$15="La cursada aprobada",COUNTIFS($F$2:$F$25,M25,$Q$2:$Q$25,"Cursada aprobada")&gt;0))),M25&amp;" ","")&amp;IF(NOT(OR(N25="",COUNTIF($F$2:$F$25,N25)=0,COUNTIFS($F$2:$F$25,N25,$Q$2:$Q$25,"Aprobada")&gt;0,AND(Resumen!$B$15="La cursada aprobada",COUNTIFS($F$2:$F$25,N25,$Q$2:$Q$25,"Cursada aprobada")&gt;0))),N25&amp;" ","")&amp;IF(NOT(OR(O25="",COUNTIF($F$2:$F$25,O25)=0,COUNTIFS($F$2:$F$25,O25,$Q$2:$Q$25,"Aprobada")&gt;0,AND(Resumen!$B$15="La cursada aprobada",COUNTIFS($F$2:$F$25,O25,$Q$2:$Q$25,"Cursada aprobada")&gt;0))),O25&amp;" ","")&amp;IF(NOT(OR(P25="",COUNTIF($F$2:$F$25,P25)=0,COUNTIFS($F$2:$F$25,P25,$Q$2:$Q$25,"Aprobada")&gt;0,AND(Resumen!$B$15="La cursada aprobada",COUNTIFS($F$2:$F$25,P25,$Q$2:$Q$25,"Cursada aprobada")&gt;0))),P25&amp;" ",""))</f>
        <v>3003</v>
      </c>
      <c r="T25" s="9" t="str">
        <f aca="false">IF(Q25="Cursada aprobada",IF(AND(OR(L25="",COUNTIF($F$2:$F$25,L25)=0,COUNTIFS($F$2:$F$25,L25,$Q$2:$Q$25,"Aprobada")&gt;0),OR(M25="",COUNTIF($F$2:$F$25,M25)=0,COUNTIFS($F$2:$F$25,M25,$Q$2:$Q$25,"Aprobada")&gt;0),OR(N25="",COUNTIF($F$2:$F$25,N25)=0,COUNTIFS($F$2:$F$25,N25,$Q$2:$Q$25,"Aprobada")&gt;0),OR(O25="",COUNTIF($F$2:$F$25,O25)=0,COUNTIFS($F$2:$F$25,O25,$Q$2:$Q$25,"Aprobada")&gt;0),OR(P25="",COUNTIF($F$2:$F$25,P25)=0,COUNTIFS($F$2:$F$25,P25,$Q$2:$Q$25,"Aprobada")&gt;0)),"Sí","No"),"")</f>
        <v/>
      </c>
      <c r="U25" s="9" t="str">
        <f aca="false">IF(Q25="Aprobada",TRIM(IF(NOT(OR(L25="",COUNTIF($F$2:$F$25,L25)=0,COUNTIFS($F$2:$F$25,L25,$Q$2:$Q$25,"Aprobada")&gt;0)),L25&amp;" ","")&amp;IF(NOT(OR(M25="",COUNTIF($F$2:$F$25,M25)=0,COUNTIFS($F$2:$F$25,M25,$Q$2:$Q$25,"Aprobada")&gt;0)),M25&amp;" ","")&amp;IF(NOT(OR(N25="",COUNTIF($F$2:$F$25,N25)=0,COUNTIFS($F$2:$F$25,N25,$Q$2:$Q$25,"Aprobada")&gt;0)),N25&amp;" ","")&amp;IF(NOT(OR(O25="",COUNTIF($F$2:$F$25,O25)=0,COUNTIFS($F$2:$F$25,O25,$Q$2:$Q$25,"Aprobada")&gt;0)),O25&amp;" ","")&amp;IF(NOT(OR(P25="",COUNTIF($F$2:$F$25,P25)=0,COUNTIFS($F$2:$F$25,P25,$Q$2:$Q$25,"Aprobada")&gt;0)),P25&amp;" ","")),IF(Q25="Cursada aprobada",TRIM(IF(NOT(OR(L25="",COUNTIF($F$2:$F$25,L25)=0,COUNTIFS($F$2:$F$25,L25,$Q$2:$Q$25,"Aprobada")&gt;0,AND(Resumen!$B$15="La cursada aprobada",COUNTIFS($F$2:$F$25,L25,$Q$2:$Q$25,"Cursada aprobada")&gt;0))),L25&amp;" ","")&amp;IF(NOT(OR(M25="",COUNTIF($F$2:$F$25,M25)=0,COUNTIFS($F$2:$F$25,M25,$Q$2:$Q$25,"Aprobada")&gt;0,AND(Resumen!$B$15="La cursada aprobada",COUNTIFS($F$2:$F$25,M25,$Q$2:$Q$25,"Cursada aprobada")&gt;0))),M25&amp;" ","")&amp;IF(NOT(OR(N25="",COUNTIF($F$2:$F$25,N25)=0,COUNTIFS($F$2:$F$25,N25,$Q$2:$Q$25,"Aprobada")&gt;0,AND(Resumen!$B$15="La cursada aprobada",COUNTIFS($F$2:$F$25,N25,$Q$2:$Q$25,"Cursada aprobada")&gt;0))),N25&amp;" ","")&amp;IF(NOT(OR(O25="",COUNTIF($F$2:$F$25,O25)=0,COUNTIFS($F$2:$F$25,O25,$Q$2:$Q$25,"Aprobada")&gt;0,AND(Resumen!$B$15="La cursada aprobada",COUNTIFS($F$2:$F$25,O25,$Q$2:$Q$25,"Cursada aprobada")&gt;0))),O25&amp;" ","")&amp;IF(NOT(OR(P25="",COUNTIF($F$2:$F$25,P25)=0,COUNTIFS($F$2:$F$25,P25,$Q$2:$Q$25,"Aprobada")&gt;0,AND(Resumen!$B$15="La cursada aprobada",COUNTIFS($F$2:$F$25,P25,$Q$2:$Q$25,"Cursada aprobada")&gt;0))),P25&amp;" ","")),""))</f>
        <v/>
      </c>
    </row>
  </sheetData>
  <autoFilter ref="A1:U25"/>
  <conditionalFormatting sqref="Q2:Q25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25">
    <cfRule type="expression" priority="4" aboveAverage="0" equalAverage="0" bottom="0" percent="0" rank="0" text="" dxfId="10">
      <formula>LEN($U2)&gt;0</formula>
    </cfRule>
  </conditionalFormatting>
  <conditionalFormatting sqref="T2:T25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25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25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236</v>
      </c>
      <c r="B2" s="8"/>
      <c r="C2" s="9" t="n">
        <v>1</v>
      </c>
      <c r="D2" s="9"/>
      <c r="E2" s="9" t="s">
        <v>99</v>
      </c>
      <c r="F2" s="9" t="n">
        <v>291</v>
      </c>
      <c r="G2" s="8" t="s">
        <v>257</v>
      </c>
      <c r="H2" s="9" t="s">
        <v>92</v>
      </c>
      <c r="I2" s="9" t="n">
        <v>1</v>
      </c>
      <c r="J2" s="9"/>
      <c r="K2" s="9" t="n">
        <v>16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cursada",IF(AND(OR(L2="",COUNTIF($F$2:$F$26,L2)=0,COUNTIFS($F$2:$F$26,L2,$Q$2:$Q$26,"Aprobada")&gt;0,AND(Resumen!$B$15="La cursada aprobada",COUNTIFS($F$2:$F$26,L2,$Q$2:$Q$26,"Cursada aprobada")&gt;0)),OR(M2="",COUNTIF($F$2:$F$26,M2)=0,COUNTIFS($F$2:$F$26,M2,$Q$2:$Q$26,"Aprobada")&gt;0,AND(Resumen!$B$15="La cursada aprobada",COUNTIFS($F$2:$F$26,M2,$Q$2:$Q$26,"Cursada aprobada")&gt;0)),OR(N2="",COUNTIF($F$2:$F$26,N2)=0,COUNTIFS($F$2:$F$26,N2,$Q$2:$Q$26,"Aprobada")&gt;0,AND(Resumen!$B$15="La cursada aprobada",COUNTIFS($F$2:$F$26,N2,$Q$2:$Q$26,"Cursada aprobada")&gt;0)),OR(O2="",COUNTIF($F$2:$F$26,O2)=0,COUNTIFS($F$2:$F$26,O2,$Q$2:$Q$26,"Aprobada")&gt;0,AND(Resumen!$B$15="La cursada aprobada",COUNTIFS($F$2:$F$26,O2,$Q$2:$Q$26,"Cursada aprobada")&gt;0)),OR(P2="",COUNTIF($F$2:$F$26,P2)=0,COUNTIFS($F$2:$F$26,P2,$Q$2:$Q$26,"Aprobada")&gt;0,AND(Resumen!$B$15="La cursada aprobada",COUNTIFS($F$2:$F$26,P2,$Q$2:$Q$26,"Cursada aprobada")&gt;0))),"Sí","No")))</f>
        <v>Sí</v>
      </c>
      <c r="S2" s="8" t="str">
        <f aca="false">TRIM(IF(NOT(OR(L2="",COUNTIF($F$2:$F$26,L2)=0,COUNTIFS($F$2:$F$26,L2,$Q$2:$Q$26,"Aprobada")&gt;0,AND(Resumen!$B$15="La cursada aprobada",COUNTIFS($F$2:$F$26,L2,$Q$2:$Q$26,"Cursada aprobada")&gt;0))),L2&amp;" ","")&amp;IF(NOT(OR(M2="",COUNTIF($F$2:$F$26,M2)=0,COUNTIFS($F$2:$F$26,M2,$Q$2:$Q$26,"Aprobada")&gt;0,AND(Resumen!$B$15="La cursada aprobada",COUNTIFS($F$2:$F$26,M2,$Q$2:$Q$26,"Cursada aprobada")&gt;0))),M2&amp;" ","")&amp;IF(NOT(OR(N2="",COUNTIF($F$2:$F$26,N2)=0,COUNTIFS($F$2:$F$26,N2,$Q$2:$Q$26,"Aprobada")&gt;0,AND(Resumen!$B$15="La cursada aprobada",COUNTIFS($F$2:$F$26,N2,$Q$2:$Q$26,"Cursada aprobada")&gt;0))),N2&amp;" ","")&amp;IF(NOT(OR(O2="",COUNTIF($F$2:$F$26,O2)=0,COUNTIFS($F$2:$F$26,O2,$Q$2:$Q$26,"Aprobada")&gt;0,AND(Resumen!$B$15="La cursada aprobada",COUNTIFS($F$2:$F$26,O2,$Q$2:$Q$26,"Cursada aprobada")&gt;0))),O2&amp;" ","")&amp;IF(NOT(OR(P2="",COUNTIF($F$2:$F$26,P2)=0,COUNTIFS($F$2:$F$26,P2,$Q$2:$Q$26,"Aprobada")&gt;0,AND(Resumen!$B$15="La cursada aprobada",COUNTIFS($F$2:$F$26,P2,$Q$2:$Q$26,"Cursada aprobada")&gt;0))),P2&amp;" ",""))</f>
        <v/>
      </c>
      <c r="T2" s="9" t="str">
        <f aca="false">IF(Q2="Cursada aprobada",IF(AND(OR(L2="",COUNTIF($F$2:$F$26,L2)=0,COUNTIFS($F$2:$F$26,L2,$Q$2:$Q$26,"Aprobada")&gt;0),OR(M2="",COUNTIF($F$2:$F$26,M2)=0,COUNTIFS($F$2:$F$26,M2,$Q$2:$Q$26,"Aprobada")&gt;0),OR(N2="",COUNTIF($F$2:$F$26,N2)=0,COUNTIFS($F$2:$F$26,N2,$Q$2:$Q$26,"Aprobada")&gt;0),OR(O2="",COUNTIF($F$2:$F$26,O2)=0,COUNTIFS($F$2:$F$26,O2,$Q$2:$Q$26,"Aprobada")&gt;0),OR(P2="",COUNTIF($F$2:$F$26,P2)=0,COUNTIFS($F$2:$F$26,P2,$Q$2:$Q$26,"Aprobada")&gt;0)),"Sí","No"),"")</f>
        <v/>
      </c>
      <c r="U2" s="9" t="str">
        <f aca="false">IF(Q2="Aprobada",TRIM(IF(NOT(OR(L2="",COUNTIF($F$2:$F$26,L2)=0,COUNTIFS($F$2:$F$26,L2,$Q$2:$Q$26,"Aprobada")&gt;0)),L2&amp;" ","")&amp;IF(NOT(OR(M2="",COUNTIF($F$2:$F$26,M2)=0,COUNTIFS($F$2:$F$26,M2,$Q$2:$Q$26,"Aprobada")&gt;0)),M2&amp;" ","")&amp;IF(NOT(OR(N2="",COUNTIF($F$2:$F$26,N2)=0,COUNTIFS($F$2:$F$26,N2,$Q$2:$Q$26,"Aprobada")&gt;0)),N2&amp;" ","")&amp;IF(NOT(OR(O2="",COUNTIF($F$2:$F$26,O2)=0,COUNTIFS($F$2:$F$26,O2,$Q$2:$Q$26,"Aprobada")&gt;0)),O2&amp;" ","")&amp;IF(NOT(OR(P2="",COUNTIF($F$2:$F$26,P2)=0,COUNTIFS($F$2:$F$26,P2,$Q$2:$Q$26,"Aprobada")&gt;0)),P2&amp;" ","")),IF(Q2="Cursada aprobada",TRIM(IF(NOT(OR(L2="",COUNTIF($F$2:$F$26,L2)=0,COUNTIFS($F$2:$F$26,L2,$Q$2:$Q$26,"Aprobada")&gt;0,AND(Resumen!$B$15="La cursada aprobada",COUNTIFS($F$2:$F$26,L2,$Q$2:$Q$26,"Cursada aprobada")&gt;0))),L2&amp;" ","")&amp;IF(NOT(OR(M2="",COUNTIF($F$2:$F$26,M2)=0,COUNTIFS($F$2:$F$26,M2,$Q$2:$Q$26,"Aprobada")&gt;0,AND(Resumen!$B$15="La cursada aprobada",COUNTIFS($F$2:$F$26,M2,$Q$2:$Q$26,"Cursada aprobada")&gt;0))),M2&amp;" ","")&amp;IF(NOT(OR(N2="",COUNTIF($F$2:$F$26,N2)=0,COUNTIFS($F$2:$F$26,N2,$Q$2:$Q$26,"Aprobada")&gt;0,AND(Resumen!$B$15="La cursada aprobada",COUNTIFS($F$2:$F$26,N2,$Q$2:$Q$26,"Cursada aprobada")&gt;0))),N2&amp;" ","")&amp;IF(NOT(OR(O2="",COUNTIF($F$2:$F$26,O2)=0,COUNTIFS($F$2:$F$26,O2,$Q$2:$Q$26,"Aprobada")&gt;0,AND(Resumen!$B$15="La cursada aprobada",COUNTIFS($F$2:$F$26,O2,$Q$2:$Q$26,"Cursada aprobada")&gt;0))),O2&amp;" ","")&amp;IF(NOT(OR(P2="",COUNTIF($F$2:$F$26,P2)=0,COUNTIFS($F$2:$F$26,P2,$Q$2:$Q$26,"Aprobada")&gt;0,AND(Resumen!$B$15="La cursada aprobada",COUNTIFS($F$2:$F$26,P2,$Q$2:$Q$26,"Cursada aprobada")&gt;0))),P2&amp;" ","")),""))</f>
        <v/>
      </c>
    </row>
    <row r="3" customFormat="false" ht="15" hidden="false" customHeight="false" outlineLevel="0" collapsed="false">
      <c r="A3" s="8" t="s">
        <v>236</v>
      </c>
      <c r="B3" s="8"/>
      <c r="C3" s="9" t="n">
        <v>1</v>
      </c>
      <c r="D3" s="9"/>
      <c r="E3" s="9" t="s">
        <v>99</v>
      </c>
      <c r="F3" s="9" t="n">
        <v>292</v>
      </c>
      <c r="G3" s="8" t="s">
        <v>238</v>
      </c>
      <c r="H3" s="9" t="s">
        <v>92</v>
      </c>
      <c r="I3" s="9" t="n">
        <v>4</v>
      </c>
      <c r="J3" s="9"/>
      <c r="K3" s="9" t="n">
        <v>64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cursada",IF(AND(OR(L3="",COUNTIF($F$2:$F$26,L3)=0,COUNTIFS($F$2:$F$26,L3,$Q$2:$Q$26,"Aprobada")&gt;0,AND(Resumen!$B$15="La cursada aprobada",COUNTIFS($F$2:$F$26,L3,$Q$2:$Q$26,"Cursada aprobada")&gt;0)),OR(M3="",COUNTIF($F$2:$F$26,M3)=0,COUNTIFS($F$2:$F$26,M3,$Q$2:$Q$26,"Aprobada")&gt;0,AND(Resumen!$B$15="La cursada aprobada",COUNTIFS($F$2:$F$26,M3,$Q$2:$Q$26,"Cursada aprobada")&gt;0)),OR(N3="",COUNTIF($F$2:$F$26,N3)=0,COUNTIFS($F$2:$F$26,N3,$Q$2:$Q$26,"Aprobada")&gt;0,AND(Resumen!$B$15="La cursada aprobada",COUNTIFS($F$2:$F$26,N3,$Q$2:$Q$26,"Cursada aprobada")&gt;0)),OR(O3="",COUNTIF($F$2:$F$26,O3)=0,COUNTIFS($F$2:$F$26,O3,$Q$2:$Q$26,"Aprobada")&gt;0,AND(Resumen!$B$15="La cursada aprobada",COUNTIFS($F$2:$F$26,O3,$Q$2:$Q$26,"Cursada aprobada")&gt;0)),OR(P3="",COUNTIF($F$2:$F$26,P3)=0,COUNTIFS($F$2:$F$26,P3,$Q$2:$Q$26,"Aprobada")&gt;0,AND(Resumen!$B$15="La cursada aprobada",COUNTIFS($F$2:$F$26,P3,$Q$2:$Q$26,"Cursada aprobada")&gt;0))),"Sí","No")))</f>
        <v>Sí</v>
      </c>
      <c r="S3" s="8" t="str">
        <f aca="false">TRIM(IF(NOT(OR(L3="",COUNTIF($F$2:$F$26,L3)=0,COUNTIFS($F$2:$F$26,L3,$Q$2:$Q$26,"Aprobada")&gt;0,AND(Resumen!$B$15="La cursada aprobada",COUNTIFS($F$2:$F$26,L3,$Q$2:$Q$26,"Cursada aprobada")&gt;0))),L3&amp;" ","")&amp;IF(NOT(OR(M3="",COUNTIF($F$2:$F$26,M3)=0,COUNTIFS($F$2:$F$26,M3,$Q$2:$Q$26,"Aprobada")&gt;0,AND(Resumen!$B$15="La cursada aprobada",COUNTIFS($F$2:$F$26,M3,$Q$2:$Q$26,"Cursada aprobada")&gt;0))),M3&amp;" ","")&amp;IF(NOT(OR(N3="",COUNTIF($F$2:$F$26,N3)=0,COUNTIFS($F$2:$F$26,N3,$Q$2:$Q$26,"Aprobada")&gt;0,AND(Resumen!$B$15="La cursada aprobada",COUNTIFS($F$2:$F$26,N3,$Q$2:$Q$26,"Cursada aprobada")&gt;0))),N3&amp;" ","")&amp;IF(NOT(OR(O3="",COUNTIF($F$2:$F$26,O3)=0,COUNTIFS($F$2:$F$26,O3,$Q$2:$Q$26,"Aprobada")&gt;0,AND(Resumen!$B$15="La cursada aprobada",COUNTIFS($F$2:$F$26,O3,$Q$2:$Q$26,"Cursada aprobada")&gt;0))),O3&amp;" ","")&amp;IF(NOT(OR(P3="",COUNTIF($F$2:$F$26,P3)=0,COUNTIFS($F$2:$F$26,P3,$Q$2:$Q$26,"Aprobada")&gt;0,AND(Resumen!$B$15="La cursada aprobada",COUNTIFS($F$2:$F$26,P3,$Q$2:$Q$26,"Cursada aprobada")&gt;0))),P3&amp;" ",""))</f>
        <v/>
      </c>
      <c r="T3" s="9" t="str">
        <f aca="false">IF(Q3="Cursada aprobada",IF(AND(OR(L3="",COUNTIF($F$2:$F$26,L3)=0,COUNTIFS($F$2:$F$26,L3,$Q$2:$Q$26,"Aprobada")&gt;0),OR(M3="",COUNTIF($F$2:$F$26,M3)=0,COUNTIFS($F$2:$F$26,M3,$Q$2:$Q$26,"Aprobada")&gt;0),OR(N3="",COUNTIF($F$2:$F$26,N3)=0,COUNTIFS($F$2:$F$26,N3,$Q$2:$Q$26,"Aprobada")&gt;0),OR(O3="",COUNTIF($F$2:$F$26,O3)=0,COUNTIFS($F$2:$F$26,O3,$Q$2:$Q$26,"Aprobada")&gt;0),OR(P3="",COUNTIF($F$2:$F$26,P3)=0,COUNTIFS($F$2:$F$26,P3,$Q$2:$Q$26,"Aprobada")&gt;0)),"Sí","No"),"")</f>
        <v/>
      </c>
      <c r="U3" s="9" t="str">
        <f aca="false">IF(Q3="Aprobada",TRIM(IF(NOT(OR(L3="",COUNTIF($F$2:$F$26,L3)=0,COUNTIFS($F$2:$F$26,L3,$Q$2:$Q$26,"Aprobada")&gt;0)),L3&amp;" ","")&amp;IF(NOT(OR(M3="",COUNTIF($F$2:$F$26,M3)=0,COUNTIFS($F$2:$F$26,M3,$Q$2:$Q$26,"Aprobada")&gt;0)),M3&amp;" ","")&amp;IF(NOT(OR(N3="",COUNTIF($F$2:$F$26,N3)=0,COUNTIFS($F$2:$F$26,N3,$Q$2:$Q$26,"Aprobada")&gt;0)),N3&amp;" ","")&amp;IF(NOT(OR(O3="",COUNTIF($F$2:$F$26,O3)=0,COUNTIFS($F$2:$F$26,O3,$Q$2:$Q$26,"Aprobada")&gt;0)),O3&amp;" ","")&amp;IF(NOT(OR(P3="",COUNTIF($F$2:$F$26,P3)=0,COUNTIFS($F$2:$F$26,P3,$Q$2:$Q$26,"Aprobada")&gt;0)),P3&amp;" ","")),IF(Q3="Cursada aprobada",TRIM(IF(NOT(OR(L3="",COUNTIF($F$2:$F$26,L3)=0,COUNTIFS($F$2:$F$26,L3,$Q$2:$Q$26,"Aprobada")&gt;0,AND(Resumen!$B$15="La cursada aprobada",COUNTIFS($F$2:$F$26,L3,$Q$2:$Q$26,"Cursada aprobada")&gt;0))),L3&amp;" ","")&amp;IF(NOT(OR(M3="",COUNTIF($F$2:$F$26,M3)=0,COUNTIFS($F$2:$F$26,M3,$Q$2:$Q$26,"Aprobada")&gt;0,AND(Resumen!$B$15="La cursada aprobada",COUNTIFS($F$2:$F$26,M3,$Q$2:$Q$26,"Cursada aprobada")&gt;0))),M3&amp;" ","")&amp;IF(NOT(OR(N3="",COUNTIF($F$2:$F$26,N3)=0,COUNTIFS($F$2:$F$26,N3,$Q$2:$Q$26,"Aprobada")&gt;0,AND(Resumen!$B$15="La cursada aprobada",COUNTIFS($F$2:$F$26,N3,$Q$2:$Q$26,"Cursada aprobada")&gt;0))),N3&amp;" ","")&amp;IF(NOT(OR(O3="",COUNTIF($F$2:$F$26,O3)=0,COUNTIFS($F$2:$F$26,O3,$Q$2:$Q$26,"Aprobada")&gt;0,AND(Resumen!$B$15="La cursada aprobada",COUNTIFS($F$2:$F$26,O3,$Q$2:$Q$26,"Cursada aprobada")&gt;0))),O3&amp;" ","")&amp;IF(NOT(OR(P3="",COUNTIF($F$2:$F$26,P3)=0,COUNTIFS($F$2:$F$26,P3,$Q$2:$Q$26,"Aprobada")&gt;0,AND(Resumen!$B$15="La cursada aprobada",COUNTIFS($F$2:$F$26,P3,$Q$2:$Q$26,"Cursada aprobada")&gt;0))),P3&amp;" ","")),""))</f>
        <v/>
      </c>
    </row>
    <row r="4" customFormat="false" ht="15" hidden="false" customHeight="false" outlineLevel="0" collapsed="false">
      <c r="A4" s="8" t="s">
        <v>236</v>
      </c>
      <c r="B4" s="8"/>
      <c r="C4" s="9" t="n">
        <v>1</v>
      </c>
      <c r="D4" s="9"/>
      <c r="E4" s="9" t="s">
        <v>99</v>
      </c>
      <c r="F4" s="9" t="n">
        <v>293</v>
      </c>
      <c r="G4" s="8" t="s">
        <v>258</v>
      </c>
      <c r="H4" s="9" t="s">
        <v>92</v>
      </c>
      <c r="I4" s="9" t="n">
        <v>2</v>
      </c>
      <c r="J4" s="9"/>
      <c r="K4" s="9" t="n">
        <v>32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cursada",IF(AND(OR(L4="",COUNTIF($F$2:$F$26,L4)=0,COUNTIFS($F$2:$F$26,L4,$Q$2:$Q$26,"Aprobada")&gt;0,AND(Resumen!$B$15="La cursada aprobada",COUNTIFS($F$2:$F$26,L4,$Q$2:$Q$26,"Cursada aprobada")&gt;0)),OR(M4="",COUNTIF($F$2:$F$26,M4)=0,COUNTIFS($F$2:$F$26,M4,$Q$2:$Q$26,"Aprobada")&gt;0,AND(Resumen!$B$15="La cursada aprobada",COUNTIFS($F$2:$F$26,M4,$Q$2:$Q$26,"Cursada aprobada")&gt;0)),OR(N4="",COUNTIF($F$2:$F$26,N4)=0,COUNTIFS($F$2:$F$26,N4,$Q$2:$Q$26,"Aprobada")&gt;0,AND(Resumen!$B$15="La cursada aprobada",COUNTIFS($F$2:$F$26,N4,$Q$2:$Q$26,"Cursada aprobada")&gt;0)),OR(O4="",COUNTIF($F$2:$F$26,O4)=0,COUNTIFS($F$2:$F$26,O4,$Q$2:$Q$26,"Aprobada")&gt;0,AND(Resumen!$B$15="La cursada aprobada",COUNTIFS($F$2:$F$26,O4,$Q$2:$Q$26,"Cursada aprobada")&gt;0)),OR(P4="",COUNTIF($F$2:$F$26,P4)=0,COUNTIFS($F$2:$F$26,P4,$Q$2:$Q$26,"Aprobada")&gt;0,AND(Resumen!$B$15="La cursada aprobada",COUNTIFS($F$2:$F$26,P4,$Q$2:$Q$26,"Cursada aprobada")&gt;0))),"Sí","No")))</f>
        <v>Sí</v>
      </c>
      <c r="S4" s="8" t="str">
        <f aca="false">TRIM(IF(NOT(OR(L4="",COUNTIF($F$2:$F$26,L4)=0,COUNTIFS($F$2:$F$26,L4,$Q$2:$Q$26,"Aprobada")&gt;0,AND(Resumen!$B$15="La cursada aprobada",COUNTIFS($F$2:$F$26,L4,$Q$2:$Q$26,"Cursada aprobada")&gt;0))),L4&amp;" ","")&amp;IF(NOT(OR(M4="",COUNTIF($F$2:$F$26,M4)=0,COUNTIFS($F$2:$F$26,M4,$Q$2:$Q$26,"Aprobada")&gt;0,AND(Resumen!$B$15="La cursada aprobada",COUNTIFS($F$2:$F$26,M4,$Q$2:$Q$26,"Cursada aprobada")&gt;0))),M4&amp;" ","")&amp;IF(NOT(OR(N4="",COUNTIF($F$2:$F$26,N4)=0,COUNTIFS($F$2:$F$26,N4,$Q$2:$Q$26,"Aprobada")&gt;0,AND(Resumen!$B$15="La cursada aprobada",COUNTIFS($F$2:$F$26,N4,$Q$2:$Q$26,"Cursada aprobada")&gt;0))),N4&amp;" ","")&amp;IF(NOT(OR(O4="",COUNTIF($F$2:$F$26,O4)=0,COUNTIFS($F$2:$F$26,O4,$Q$2:$Q$26,"Aprobada")&gt;0,AND(Resumen!$B$15="La cursada aprobada",COUNTIFS($F$2:$F$26,O4,$Q$2:$Q$26,"Cursada aprobada")&gt;0))),O4&amp;" ","")&amp;IF(NOT(OR(P4="",COUNTIF($F$2:$F$26,P4)=0,COUNTIFS($F$2:$F$26,P4,$Q$2:$Q$26,"Aprobada")&gt;0,AND(Resumen!$B$15="La cursada aprobada",COUNTIFS($F$2:$F$26,P4,$Q$2:$Q$26,"Cursada aprobada")&gt;0))),P4&amp;" ",""))</f>
        <v/>
      </c>
      <c r="T4" s="9" t="str">
        <f aca="false">IF(Q4="Cursada aprobada",IF(AND(OR(L4="",COUNTIF($F$2:$F$26,L4)=0,COUNTIFS($F$2:$F$26,L4,$Q$2:$Q$26,"Aprobada")&gt;0),OR(M4="",COUNTIF($F$2:$F$26,M4)=0,COUNTIFS($F$2:$F$26,M4,$Q$2:$Q$26,"Aprobada")&gt;0),OR(N4="",COUNTIF($F$2:$F$26,N4)=0,COUNTIFS($F$2:$F$26,N4,$Q$2:$Q$26,"Aprobada")&gt;0),OR(O4="",COUNTIF($F$2:$F$26,O4)=0,COUNTIFS($F$2:$F$26,O4,$Q$2:$Q$26,"Aprobada")&gt;0),OR(P4="",COUNTIF($F$2:$F$26,P4)=0,COUNTIFS($F$2:$F$26,P4,$Q$2:$Q$26,"Aprobada")&gt;0)),"Sí","No"),"")</f>
        <v/>
      </c>
      <c r="U4" s="9" t="str">
        <f aca="false">IF(Q4="Aprobada",TRIM(IF(NOT(OR(L4="",COUNTIF($F$2:$F$26,L4)=0,COUNTIFS($F$2:$F$26,L4,$Q$2:$Q$26,"Aprobada")&gt;0)),L4&amp;" ","")&amp;IF(NOT(OR(M4="",COUNTIF($F$2:$F$26,M4)=0,COUNTIFS($F$2:$F$26,M4,$Q$2:$Q$26,"Aprobada")&gt;0)),M4&amp;" ","")&amp;IF(NOT(OR(N4="",COUNTIF($F$2:$F$26,N4)=0,COUNTIFS($F$2:$F$26,N4,$Q$2:$Q$26,"Aprobada")&gt;0)),N4&amp;" ","")&amp;IF(NOT(OR(O4="",COUNTIF($F$2:$F$26,O4)=0,COUNTIFS($F$2:$F$26,O4,$Q$2:$Q$26,"Aprobada")&gt;0)),O4&amp;" ","")&amp;IF(NOT(OR(P4="",COUNTIF($F$2:$F$26,P4)=0,COUNTIFS($F$2:$F$26,P4,$Q$2:$Q$26,"Aprobada")&gt;0)),P4&amp;" ","")),IF(Q4="Cursada aprobada",TRIM(IF(NOT(OR(L4="",COUNTIF($F$2:$F$26,L4)=0,COUNTIFS($F$2:$F$26,L4,$Q$2:$Q$26,"Aprobada")&gt;0,AND(Resumen!$B$15="La cursada aprobada",COUNTIFS($F$2:$F$26,L4,$Q$2:$Q$26,"Cursada aprobada")&gt;0))),L4&amp;" ","")&amp;IF(NOT(OR(M4="",COUNTIF($F$2:$F$26,M4)=0,COUNTIFS($F$2:$F$26,M4,$Q$2:$Q$26,"Aprobada")&gt;0,AND(Resumen!$B$15="La cursada aprobada",COUNTIFS($F$2:$F$26,M4,$Q$2:$Q$26,"Cursada aprobada")&gt;0))),M4&amp;" ","")&amp;IF(NOT(OR(N4="",COUNTIF($F$2:$F$26,N4)=0,COUNTIFS($F$2:$F$26,N4,$Q$2:$Q$26,"Aprobada")&gt;0,AND(Resumen!$B$15="La cursada aprobada",COUNTIFS($F$2:$F$26,N4,$Q$2:$Q$26,"Cursada aprobada")&gt;0))),N4&amp;" ","")&amp;IF(NOT(OR(O4="",COUNTIF($F$2:$F$26,O4)=0,COUNTIFS($F$2:$F$26,O4,$Q$2:$Q$26,"Aprobada")&gt;0,AND(Resumen!$B$15="La cursada aprobada",COUNTIFS($F$2:$F$26,O4,$Q$2:$Q$26,"Cursada aprobada")&gt;0))),O4&amp;" ","")&amp;IF(NOT(OR(P4="",COUNTIF($F$2:$F$26,P4)=0,COUNTIFS($F$2:$F$26,P4,$Q$2:$Q$26,"Aprobada")&gt;0,AND(Resumen!$B$15="La cursada aprobada",COUNTIFS($F$2:$F$26,P4,$Q$2:$Q$26,"Cursada aprobada")&gt;0))),P4&amp;" ","")),""))</f>
        <v/>
      </c>
    </row>
    <row r="5" customFormat="false" ht="15" hidden="false" customHeight="false" outlineLevel="0" collapsed="false">
      <c r="A5" s="8" t="s">
        <v>240</v>
      </c>
      <c r="B5" s="8"/>
      <c r="C5" s="9" t="n">
        <v>1</v>
      </c>
      <c r="D5" s="9" t="n">
        <v>1</v>
      </c>
      <c r="E5" s="9" t="s">
        <v>59</v>
      </c>
      <c r="F5" s="9" t="n">
        <v>101</v>
      </c>
      <c r="G5" s="8" t="s">
        <v>60</v>
      </c>
      <c r="H5" s="9" t="s">
        <v>61</v>
      </c>
      <c r="I5" s="9" t="n">
        <v>6</v>
      </c>
      <c r="J5" s="9"/>
      <c r="K5" s="9" t="n">
        <v>96</v>
      </c>
      <c r="L5" s="9" t="n">
        <v>291</v>
      </c>
      <c r="M5" s="9" t="n">
        <v>292</v>
      </c>
      <c r="N5" s="9" t="n">
        <v>293</v>
      </c>
      <c r="O5" s="9"/>
      <c r="P5" s="9"/>
      <c r="Q5" s="10" t="s">
        <v>62</v>
      </c>
      <c r="R5" s="9" t="str">
        <f aca="false">IF(Q5="Aprobada","Ya aprobada",IF(Q5="Cursada aprobada","Ya cursada",IF(AND(OR(L5="",COUNTIF($F$2:$F$26,L5)=0,COUNTIFS($F$2:$F$26,L5,$Q$2:$Q$26,"Aprobada")&gt;0,AND(Resumen!$B$15="La cursada aprobada",COUNTIFS($F$2:$F$26,L5,$Q$2:$Q$26,"Cursada aprobada")&gt;0)),OR(M5="",COUNTIF($F$2:$F$26,M5)=0,COUNTIFS($F$2:$F$26,M5,$Q$2:$Q$26,"Aprobada")&gt;0,AND(Resumen!$B$15="La cursada aprobada",COUNTIFS($F$2:$F$26,M5,$Q$2:$Q$26,"Cursada aprobada")&gt;0)),OR(N5="",COUNTIF($F$2:$F$26,N5)=0,COUNTIFS($F$2:$F$26,N5,$Q$2:$Q$26,"Aprobada")&gt;0,AND(Resumen!$B$15="La cursada aprobada",COUNTIFS($F$2:$F$26,N5,$Q$2:$Q$26,"Cursada aprobada")&gt;0)),OR(O5="",COUNTIF($F$2:$F$26,O5)=0,COUNTIFS($F$2:$F$26,O5,$Q$2:$Q$26,"Aprobada")&gt;0,AND(Resumen!$B$15="La cursada aprobada",COUNTIFS($F$2:$F$26,O5,$Q$2:$Q$26,"Cursada aprobada")&gt;0)),OR(P5="",COUNTIF($F$2:$F$26,P5)=0,COUNTIFS($F$2:$F$26,P5,$Q$2:$Q$26,"Aprobada")&gt;0,AND(Resumen!$B$15="La cursada aprobada",COUNTIFS($F$2:$F$26,P5,$Q$2:$Q$26,"Cursada aprobada")&gt;0))),"Sí","No")))</f>
        <v>No</v>
      </c>
      <c r="S5" s="8" t="str">
        <f aca="false">TRIM(IF(NOT(OR(L5="",COUNTIF($F$2:$F$26,L5)=0,COUNTIFS($F$2:$F$26,L5,$Q$2:$Q$26,"Aprobada")&gt;0,AND(Resumen!$B$15="La cursada aprobada",COUNTIFS($F$2:$F$26,L5,$Q$2:$Q$26,"Cursada aprobada")&gt;0))),L5&amp;" ","")&amp;IF(NOT(OR(M5="",COUNTIF($F$2:$F$26,M5)=0,COUNTIFS($F$2:$F$26,M5,$Q$2:$Q$26,"Aprobada")&gt;0,AND(Resumen!$B$15="La cursada aprobada",COUNTIFS($F$2:$F$26,M5,$Q$2:$Q$26,"Cursada aprobada")&gt;0))),M5&amp;" ","")&amp;IF(NOT(OR(N5="",COUNTIF($F$2:$F$26,N5)=0,COUNTIFS($F$2:$F$26,N5,$Q$2:$Q$26,"Aprobada")&gt;0,AND(Resumen!$B$15="La cursada aprobada",COUNTIFS($F$2:$F$26,N5,$Q$2:$Q$26,"Cursada aprobada")&gt;0))),N5&amp;" ","")&amp;IF(NOT(OR(O5="",COUNTIF($F$2:$F$26,O5)=0,COUNTIFS($F$2:$F$26,O5,$Q$2:$Q$26,"Aprobada")&gt;0,AND(Resumen!$B$15="La cursada aprobada",COUNTIFS($F$2:$F$26,O5,$Q$2:$Q$26,"Cursada aprobada")&gt;0))),O5&amp;" ","")&amp;IF(NOT(OR(P5="",COUNTIF($F$2:$F$26,P5)=0,COUNTIFS($F$2:$F$26,P5,$Q$2:$Q$26,"Aprobada")&gt;0,AND(Resumen!$B$15="La cursada aprobada",COUNTIFS($F$2:$F$26,P5,$Q$2:$Q$26,"Cursada aprobada")&gt;0))),P5&amp;" ",""))</f>
        <v>291 292 293</v>
      </c>
      <c r="T5" s="9" t="str">
        <f aca="false">IF(Q5="Cursada aprobada",IF(AND(OR(L5="",COUNTIF($F$2:$F$26,L5)=0,COUNTIFS($F$2:$F$26,L5,$Q$2:$Q$26,"Aprobada")&gt;0),OR(M5="",COUNTIF($F$2:$F$26,M5)=0,COUNTIFS($F$2:$F$26,M5,$Q$2:$Q$26,"Aprobada")&gt;0),OR(N5="",COUNTIF($F$2:$F$26,N5)=0,COUNTIFS($F$2:$F$26,N5,$Q$2:$Q$26,"Aprobada")&gt;0),OR(O5="",COUNTIF($F$2:$F$26,O5)=0,COUNTIFS($F$2:$F$26,O5,$Q$2:$Q$26,"Aprobada")&gt;0),OR(P5="",COUNTIF($F$2:$F$26,P5)=0,COUNTIFS($F$2:$F$26,P5,$Q$2:$Q$26,"Aprobada")&gt;0)),"Sí","No"),"")</f>
        <v/>
      </c>
      <c r="U5" s="9" t="str">
        <f aca="false">IF(Q5="Aprobada",TRIM(IF(NOT(OR(L5="",COUNTIF($F$2:$F$26,L5)=0,COUNTIFS($F$2:$F$26,L5,$Q$2:$Q$26,"Aprobada")&gt;0)),L5&amp;" ","")&amp;IF(NOT(OR(M5="",COUNTIF($F$2:$F$26,M5)=0,COUNTIFS($F$2:$F$26,M5,$Q$2:$Q$26,"Aprobada")&gt;0)),M5&amp;" ","")&amp;IF(NOT(OR(N5="",COUNTIF($F$2:$F$26,N5)=0,COUNTIFS($F$2:$F$26,N5,$Q$2:$Q$26,"Aprobada")&gt;0)),N5&amp;" ","")&amp;IF(NOT(OR(O5="",COUNTIF($F$2:$F$26,O5)=0,COUNTIFS($F$2:$F$26,O5,$Q$2:$Q$26,"Aprobada")&gt;0)),O5&amp;" ","")&amp;IF(NOT(OR(P5="",COUNTIF($F$2:$F$26,P5)=0,COUNTIFS($F$2:$F$26,P5,$Q$2:$Q$26,"Aprobada")&gt;0)),P5&amp;" ","")),IF(Q5="Cursada aprobada",TRIM(IF(NOT(OR(L5="",COUNTIF($F$2:$F$26,L5)=0,COUNTIFS($F$2:$F$26,L5,$Q$2:$Q$26,"Aprobada")&gt;0,AND(Resumen!$B$15="La cursada aprobada",COUNTIFS($F$2:$F$26,L5,$Q$2:$Q$26,"Cursada aprobada")&gt;0))),L5&amp;" ","")&amp;IF(NOT(OR(M5="",COUNTIF($F$2:$F$26,M5)=0,COUNTIFS($F$2:$F$26,M5,$Q$2:$Q$26,"Aprobada")&gt;0,AND(Resumen!$B$15="La cursada aprobada",COUNTIFS($F$2:$F$26,M5,$Q$2:$Q$26,"Cursada aprobada")&gt;0))),M5&amp;" ","")&amp;IF(NOT(OR(N5="",COUNTIF($F$2:$F$26,N5)=0,COUNTIFS($F$2:$F$26,N5,$Q$2:$Q$26,"Aprobada")&gt;0,AND(Resumen!$B$15="La cursada aprobada",COUNTIFS($F$2:$F$26,N5,$Q$2:$Q$26,"Cursada aprobada")&gt;0))),N5&amp;" ","")&amp;IF(NOT(OR(O5="",COUNTIF($F$2:$F$26,O5)=0,COUNTIFS($F$2:$F$26,O5,$Q$2:$Q$26,"Aprobada")&gt;0,AND(Resumen!$B$15="La cursada aprobada",COUNTIFS($F$2:$F$26,O5,$Q$2:$Q$26,"Cursada aprobada")&gt;0))),O5&amp;" ","")&amp;IF(NOT(OR(P5="",COUNTIF($F$2:$F$26,P5)=0,COUNTIFS($F$2:$F$26,P5,$Q$2:$Q$26,"Aprobada")&gt;0,AND(Resumen!$B$15="La cursada aprobada",COUNTIFS($F$2:$F$26,P5,$Q$2:$Q$26,"Cursada aprobada")&gt;0))),P5&amp;" ","")),""))</f>
        <v/>
      </c>
    </row>
    <row r="6" customFormat="false" ht="15" hidden="false" customHeight="false" outlineLevel="0" collapsed="false">
      <c r="A6" s="8" t="s">
        <v>240</v>
      </c>
      <c r="B6" s="8"/>
      <c r="C6" s="9" t="n">
        <v>1</v>
      </c>
      <c r="D6" s="9" t="n">
        <v>1</v>
      </c>
      <c r="E6" s="9" t="s">
        <v>63</v>
      </c>
      <c r="F6" s="9" t="n">
        <v>104</v>
      </c>
      <c r="G6" s="8" t="s">
        <v>64</v>
      </c>
      <c r="H6" s="9" t="s">
        <v>61</v>
      </c>
      <c r="I6" s="9" t="n">
        <v>6</v>
      </c>
      <c r="J6" s="9"/>
      <c r="K6" s="9" t="n">
        <v>96</v>
      </c>
      <c r="L6" s="9" t="n">
        <v>291</v>
      </c>
      <c r="M6" s="9" t="n">
        <v>292</v>
      </c>
      <c r="N6" s="9" t="n">
        <v>293</v>
      </c>
      <c r="O6" s="9"/>
      <c r="P6" s="9"/>
      <c r="Q6" s="10" t="s">
        <v>62</v>
      </c>
      <c r="R6" s="9" t="str">
        <f aca="false">IF(Q6="Aprobada","Ya aprobada",IF(Q6="Cursada aprobada","Ya cursada",IF(AND(OR(L6="",COUNTIF($F$2:$F$26,L6)=0,COUNTIFS($F$2:$F$26,L6,$Q$2:$Q$26,"Aprobada")&gt;0,AND(Resumen!$B$15="La cursada aprobada",COUNTIFS($F$2:$F$26,L6,$Q$2:$Q$26,"Cursada aprobada")&gt;0)),OR(M6="",COUNTIF($F$2:$F$26,M6)=0,COUNTIFS($F$2:$F$26,M6,$Q$2:$Q$26,"Aprobada")&gt;0,AND(Resumen!$B$15="La cursada aprobada",COUNTIFS($F$2:$F$26,M6,$Q$2:$Q$26,"Cursada aprobada")&gt;0)),OR(N6="",COUNTIF($F$2:$F$26,N6)=0,COUNTIFS($F$2:$F$26,N6,$Q$2:$Q$26,"Aprobada")&gt;0,AND(Resumen!$B$15="La cursada aprobada",COUNTIFS($F$2:$F$26,N6,$Q$2:$Q$26,"Cursada aprobada")&gt;0)),OR(O6="",COUNTIF($F$2:$F$26,O6)=0,COUNTIFS($F$2:$F$26,O6,$Q$2:$Q$26,"Aprobada")&gt;0,AND(Resumen!$B$15="La cursada aprobada",COUNTIFS($F$2:$F$26,O6,$Q$2:$Q$26,"Cursada aprobada")&gt;0)),OR(P6="",COUNTIF($F$2:$F$26,P6)=0,COUNTIFS($F$2:$F$26,P6,$Q$2:$Q$26,"Aprobada")&gt;0,AND(Resumen!$B$15="La cursada aprobada",COUNTIFS($F$2:$F$26,P6,$Q$2:$Q$26,"Cursada aprobada")&gt;0))),"Sí","No")))</f>
        <v>No</v>
      </c>
      <c r="S6" s="8" t="str">
        <f aca="false">TRIM(IF(NOT(OR(L6="",COUNTIF($F$2:$F$26,L6)=0,COUNTIFS($F$2:$F$26,L6,$Q$2:$Q$26,"Aprobada")&gt;0,AND(Resumen!$B$15="La cursada aprobada",COUNTIFS($F$2:$F$26,L6,$Q$2:$Q$26,"Cursada aprobada")&gt;0))),L6&amp;" ","")&amp;IF(NOT(OR(M6="",COUNTIF($F$2:$F$26,M6)=0,COUNTIFS($F$2:$F$26,M6,$Q$2:$Q$26,"Aprobada")&gt;0,AND(Resumen!$B$15="La cursada aprobada",COUNTIFS($F$2:$F$26,M6,$Q$2:$Q$26,"Cursada aprobada")&gt;0))),M6&amp;" ","")&amp;IF(NOT(OR(N6="",COUNTIF($F$2:$F$26,N6)=0,COUNTIFS($F$2:$F$26,N6,$Q$2:$Q$26,"Aprobada")&gt;0,AND(Resumen!$B$15="La cursada aprobada",COUNTIFS($F$2:$F$26,N6,$Q$2:$Q$26,"Cursada aprobada")&gt;0))),N6&amp;" ","")&amp;IF(NOT(OR(O6="",COUNTIF($F$2:$F$26,O6)=0,COUNTIFS($F$2:$F$26,O6,$Q$2:$Q$26,"Aprobada")&gt;0,AND(Resumen!$B$15="La cursada aprobada",COUNTIFS($F$2:$F$26,O6,$Q$2:$Q$26,"Cursada aprobada")&gt;0))),O6&amp;" ","")&amp;IF(NOT(OR(P6="",COUNTIF($F$2:$F$26,P6)=0,COUNTIFS($F$2:$F$26,P6,$Q$2:$Q$26,"Aprobada")&gt;0,AND(Resumen!$B$15="La cursada aprobada",COUNTIFS($F$2:$F$26,P6,$Q$2:$Q$26,"Cursada aprobada")&gt;0))),P6&amp;" ",""))</f>
        <v>291 292 293</v>
      </c>
      <c r="T6" s="9" t="str">
        <f aca="false">IF(Q6="Cursada aprobada",IF(AND(OR(L6="",COUNTIF($F$2:$F$26,L6)=0,COUNTIFS($F$2:$F$26,L6,$Q$2:$Q$26,"Aprobada")&gt;0),OR(M6="",COUNTIF($F$2:$F$26,M6)=0,COUNTIFS($F$2:$F$26,M6,$Q$2:$Q$26,"Aprobada")&gt;0),OR(N6="",COUNTIF($F$2:$F$26,N6)=0,COUNTIFS($F$2:$F$26,N6,$Q$2:$Q$26,"Aprobada")&gt;0),OR(O6="",COUNTIF($F$2:$F$26,O6)=0,COUNTIFS($F$2:$F$26,O6,$Q$2:$Q$26,"Aprobada")&gt;0),OR(P6="",COUNTIF($F$2:$F$26,P6)=0,COUNTIFS($F$2:$F$26,P6,$Q$2:$Q$26,"Aprobada")&gt;0)),"Sí","No"),"")</f>
        <v/>
      </c>
      <c r="U6" s="9" t="str">
        <f aca="false">IF(Q6="Aprobada",TRIM(IF(NOT(OR(L6="",COUNTIF($F$2:$F$26,L6)=0,COUNTIFS($F$2:$F$26,L6,$Q$2:$Q$26,"Aprobada")&gt;0)),L6&amp;" ","")&amp;IF(NOT(OR(M6="",COUNTIF($F$2:$F$26,M6)=0,COUNTIFS($F$2:$F$26,M6,$Q$2:$Q$26,"Aprobada")&gt;0)),M6&amp;" ","")&amp;IF(NOT(OR(N6="",COUNTIF($F$2:$F$26,N6)=0,COUNTIFS($F$2:$F$26,N6,$Q$2:$Q$26,"Aprobada")&gt;0)),N6&amp;" ","")&amp;IF(NOT(OR(O6="",COUNTIF($F$2:$F$26,O6)=0,COUNTIFS($F$2:$F$26,O6,$Q$2:$Q$26,"Aprobada")&gt;0)),O6&amp;" ","")&amp;IF(NOT(OR(P6="",COUNTIF($F$2:$F$26,P6)=0,COUNTIFS($F$2:$F$26,P6,$Q$2:$Q$26,"Aprobada")&gt;0)),P6&amp;" ","")),IF(Q6="Cursada aprobada",TRIM(IF(NOT(OR(L6="",COUNTIF($F$2:$F$26,L6)=0,COUNTIFS($F$2:$F$26,L6,$Q$2:$Q$26,"Aprobada")&gt;0,AND(Resumen!$B$15="La cursada aprobada",COUNTIFS($F$2:$F$26,L6,$Q$2:$Q$26,"Cursada aprobada")&gt;0))),L6&amp;" ","")&amp;IF(NOT(OR(M6="",COUNTIF($F$2:$F$26,M6)=0,COUNTIFS($F$2:$F$26,M6,$Q$2:$Q$26,"Aprobada")&gt;0,AND(Resumen!$B$15="La cursada aprobada",COUNTIFS($F$2:$F$26,M6,$Q$2:$Q$26,"Cursada aprobada")&gt;0))),M6&amp;" ","")&amp;IF(NOT(OR(N6="",COUNTIF($F$2:$F$26,N6)=0,COUNTIFS($F$2:$F$26,N6,$Q$2:$Q$26,"Aprobada")&gt;0,AND(Resumen!$B$15="La cursada aprobada",COUNTIFS($F$2:$F$26,N6,$Q$2:$Q$26,"Cursada aprobada")&gt;0))),N6&amp;" ","")&amp;IF(NOT(OR(O6="",COUNTIF($F$2:$F$26,O6)=0,COUNTIFS($F$2:$F$26,O6,$Q$2:$Q$26,"Aprobada")&gt;0,AND(Resumen!$B$15="La cursada aprobada",COUNTIFS($F$2:$F$26,O6,$Q$2:$Q$26,"Cursada aprobada")&gt;0))),O6&amp;" ","")&amp;IF(NOT(OR(P6="",COUNTIF($F$2:$F$26,P6)=0,COUNTIFS($F$2:$F$26,P6,$Q$2:$Q$26,"Aprobada")&gt;0,AND(Resumen!$B$15="La cursada aprobada",COUNTIFS($F$2:$F$26,P6,$Q$2:$Q$26,"Cursada aprobada")&gt;0))),P6&amp;" ","")),""))</f>
        <v/>
      </c>
    </row>
    <row r="7" customFormat="false" ht="15" hidden="false" customHeight="false" outlineLevel="0" collapsed="false">
      <c r="A7" s="8" t="s">
        <v>240</v>
      </c>
      <c r="B7" s="8"/>
      <c r="C7" s="9" t="n">
        <v>1</v>
      </c>
      <c r="D7" s="9" t="n">
        <v>1</v>
      </c>
      <c r="E7" s="9" t="s">
        <v>65</v>
      </c>
      <c r="F7" s="9" t="n">
        <v>114</v>
      </c>
      <c r="G7" s="8" t="s">
        <v>176</v>
      </c>
      <c r="H7" s="9" t="s">
        <v>61</v>
      </c>
      <c r="I7" s="9" t="n">
        <v>6</v>
      </c>
      <c r="J7" s="9"/>
      <c r="K7" s="9" t="n">
        <v>96</v>
      </c>
      <c r="L7" s="9" t="n">
        <v>291</v>
      </c>
      <c r="M7" s="9" t="n">
        <v>292</v>
      </c>
      <c r="N7" s="9" t="n">
        <v>293</v>
      </c>
      <c r="O7" s="9"/>
      <c r="P7" s="9"/>
      <c r="Q7" s="10" t="s">
        <v>62</v>
      </c>
      <c r="R7" s="9" t="str">
        <f aca="false">IF(Q7="Aprobada","Ya aprobada",IF(Q7="Cursada aprobada","Ya cursada",IF(AND(OR(L7="",COUNTIF($F$2:$F$26,L7)=0,COUNTIFS($F$2:$F$26,L7,$Q$2:$Q$26,"Aprobada")&gt;0,AND(Resumen!$B$15="La cursada aprobada",COUNTIFS($F$2:$F$26,L7,$Q$2:$Q$26,"Cursada aprobada")&gt;0)),OR(M7="",COUNTIF($F$2:$F$26,M7)=0,COUNTIFS($F$2:$F$26,M7,$Q$2:$Q$26,"Aprobada")&gt;0,AND(Resumen!$B$15="La cursada aprobada",COUNTIFS($F$2:$F$26,M7,$Q$2:$Q$26,"Cursada aprobada")&gt;0)),OR(N7="",COUNTIF($F$2:$F$26,N7)=0,COUNTIFS($F$2:$F$26,N7,$Q$2:$Q$26,"Aprobada")&gt;0,AND(Resumen!$B$15="La cursada aprobada",COUNTIFS($F$2:$F$26,N7,$Q$2:$Q$26,"Cursada aprobada")&gt;0)),OR(O7="",COUNTIF($F$2:$F$26,O7)=0,COUNTIFS($F$2:$F$26,O7,$Q$2:$Q$26,"Aprobada")&gt;0,AND(Resumen!$B$15="La cursada aprobada",COUNTIFS($F$2:$F$26,O7,$Q$2:$Q$26,"Cursada aprobada")&gt;0)),OR(P7="",COUNTIF($F$2:$F$26,P7)=0,COUNTIFS($F$2:$F$26,P7,$Q$2:$Q$26,"Aprobada")&gt;0,AND(Resumen!$B$15="La cursada aprobada",COUNTIFS($F$2:$F$26,P7,$Q$2:$Q$26,"Cursada aprobada")&gt;0))),"Sí","No")))</f>
        <v>No</v>
      </c>
      <c r="S7" s="8" t="str">
        <f aca="false">TRIM(IF(NOT(OR(L7="",COUNTIF($F$2:$F$26,L7)=0,COUNTIFS($F$2:$F$26,L7,$Q$2:$Q$26,"Aprobada")&gt;0,AND(Resumen!$B$15="La cursada aprobada",COUNTIFS($F$2:$F$26,L7,$Q$2:$Q$26,"Cursada aprobada")&gt;0))),L7&amp;" ","")&amp;IF(NOT(OR(M7="",COUNTIF($F$2:$F$26,M7)=0,COUNTIFS($F$2:$F$26,M7,$Q$2:$Q$26,"Aprobada")&gt;0,AND(Resumen!$B$15="La cursada aprobada",COUNTIFS($F$2:$F$26,M7,$Q$2:$Q$26,"Cursada aprobada")&gt;0))),M7&amp;" ","")&amp;IF(NOT(OR(N7="",COUNTIF($F$2:$F$26,N7)=0,COUNTIFS($F$2:$F$26,N7,$Q$2:$Q$26,"Aprobada")&gt;0,AND(Resumen!$B$15="La cursada aprobada",COUNTIFS($F$2:$F$26,N7,$Q$2:$Q$26,"Cursada aprobada")&gt;0))),N7&amp;" ","")&amp;IF(NOT(OR(O7="",COUNTIF($F$2:$F$26,O7)=0,COUNTIFS($F$2:$F$26,O7,$Q$2:$Q$26,"Aprobada")&gt;0,AND(Resumen!$B$15="La cursada aprobada",COUNTIFS($F$2:$F$26,O7,$Q$2:$Q$26,"Cursada aprobada")&gt;0))),O7&amp;" ","")&amp;IF(NOT(OR(P7="",COUNTIF($F$2:$F$26,P7)=0,COUNTIFS($F$2:$F$26,P7,$Q$2:$Q$26,"Aprobada")&gt;0,AND(Resumen!$B$15="La cursada aprobada",COUNTIFS($F$2:$F$26,P7,$Q$2:$Q$26,"Cursada aprobada")&gt;0))),P7&amp;" ",""))</f>
        <v>291 292 293</v>
      </c>
      <c r="T7" s="9" t="str">
        <f aca="false">IF(Q7="Cursada aprobada",IF(AND(OR(L7="",COUNTIF($F$2:$F$26,L7)=0,COUNTIFS($F$2:$F$26,L7,$Q$2:$Q$26,"Aprobada")&gt;0),OR(M7="",COUNTIF($F$2:$F$26,M7)=0,COUNTIFS($F$2:$F$26,M7,$Q$2:$Q$26,"Aprobada")&gt;0),OR(N7="",COUNTIF($F$2:$F$26,N7)=0,COUNTIFS($F$2:$F$26,N7,$Q$2:$Q$26,"Aprobada")&gt;0),OR(O7="",COUNTIF($F$2:$F$26,O7)=0,COUNTIFS($F$2:$F$26,O7,$Q$2:$Q$26,"Aprobada")&gt;0),OR(P7="",COUNTIF($F$2:$F$26,P7)=0,COUNTIFS($F$2:$F$26,P7,$Q$2:$Q$26,"Aprobada")&gt;0)),"Sí","No"),"")</f>
        <v/>
      </c>
      <c r="U7" s="9" t="str">
        <f aca="false">IF(Q7="Aprobada",TRIM(IF(NOT(OR(L7="",COUNTIF($F$2:$F$26,L7)=0,COUNTIFS($F$2:$F$26,L7,$Q$2:$Q$26,"Aprobada")&gt;0)),L7&amp;" ","")&amp;IF(NOT(OR(M7="",COUNTIF($F$2:$F$26,M7)=0,COUNTIFS($F$2:$F$26,M7,$Q$2:$Q$26,"Aprobada")&gt;0)),M7&amp;" ","")&amp;IF(NOT(OR(N7="",COUNTIF($F$2:$F$26,N7)=0,COUNTIFS($F$2:$F$26,N7,$Q$2:$Q$26,"Aprobada")&gt;0)),N7&amp;" ","")&amp;IF(NOT(OR(O7="",COUNTIF($F$2:$F$26,O7)=0,COUNTIFS($F$2:$F$26,O7,$Q$2:$Q$26,"Aprobada")&gt;0)),O7&amp;" ","")&amp;IF(NOT(OR(P7="",COUNTIF($F$2:$F$26,P7)=0,COUNTIFS($F$2:$F$26,P7,$Q$2:$Q$26,"Aprobada")&gt;0)),P7&amp;" ","")),IF(Q7="Cursada aprobada",TRIM(IF(NOT(OR(L7="",COUNTIF($F$2:$F$26,L7)=0,COUNTIFS($F$2:$F$26,L7,$Q$2:$Q$26,"Aprobada")&gt;0,AND(Resumen!$B$15="La cursada aprobada",COUNTIFS($F$2:$F$26,L7,$Q$2:$Q$26,"Cursada aprobada")&gt;0))),L7&amp;" ","")&amp;IF(NOT(OR(M7="",COUNTIF($F$2:$F$26,M7)=0,COUNTIFS($F$2:$F$26,M7,$Q$2:$Q$26,"Aprobada")&gt;0,AND(Resumen!$B$15="La cursada aprobada",COUNTIFS($F$2:$F$26,M7,$Q$2:$Q$26,"Cursada aprobada")&gt;0))),M7&amp;" ","")&amp;IF(NOT(OR(N7="",COUNTIF($F$2:$F$26,N7)=0,COUNTIFS($F$2:$F$26,N7,$Q$2:$Q$26,"Aprobada")&gt;0,AND(Resumen!$B$15="La cursada aprobada",COUNTIFS($F$2:$F$26,N7,$Q$2:$Q$26,"Cursada aprobada")&gt;0))),N7&amp;" ","")&amp;IF(NOT(OR(O7="",COUNTIF($F$2:$F$26,O7)=0,COUNTIFS($F$2:$F$26,O7,$Q$2:$Q$26,"Aprobada")&gt;0,AND(Resumen!$B$15="La cursada aprobada",COUNTIFS($F$2:$F$26,O7,$Q$2:$Q$26,"Cursada aprobada")&gt;0))),O7&amp;" ","")&amp;IF(NOT(OR(P7="",COUNTIF($F$2:$F$26,P7)=0,COUNTIFS($F$2:$F$26,P7,$Q$2:$Q$26,"Aprobada")&gt;0,AND(Resumen!$B$15="La cursada aprobada",COUNTIFS($F$2:$F$26,P7,$Q$2:$Q$26,"Cursada aprobada")&gt;0))),P7&amp;" ","")),""))</f>
        <v/>
      </c>
    </row>
    <row r="8" customFormat="false" ht="15" hidden="false" customHeight="false" outlineLevel="0" collapsed="false">
      <c r="A8" s="8" t="s">
        <v>240</v>
      </c>
      <c r="B8" s="8"/>
      <c r="C8" s="9" t="n">
        <v>1</v>
      </c>
      <c r="D8" s="9" t="n">
        <v>2</v>
      </c>
      <c r="E8" s="9" t="s">
        <v>67</v>
      </c>
      <c r="F8" s="9" t="n">
        <v>227</v>
      </c>
      <c r="G8" s="8" t="s">
        <v>182</v>
      </c>
      <c r="H8" s="9" t="s">
        <v>61</v>
      </c>
      <c r="I8" s="9" t="n">
        <v>6</v>
      </c>
      <c r="J8" s="9"/>
      <c r="K8" s="9" t="n">
        <v>96</v>
      </c>
      <c r="L8" s="9" t="n">
        <v>291</v>
      </c>
      <c r="M8" s="9" t="n">
        <v>292</v>
      </c>
      <c r="N8" s="9" t="n">
        <v>293</v>
      </c>
      <c r="O8" s="9"/>
      <c r="P8" s="9"/>
      <c r="Q8" s="10" t="s">
        <v>62</v>
      </c>
      <c r="R8" s="9" t="str">
        <f aca="false">IF(Q8="Aprobada","Ya aprobada",IF(Q8="Cursada aprobada","Ya cursada",IF(AND(OR(L8="",COUNTIF($F$2:$F$26,L8)=0,COUNTIFS($F$2:$F$26,L8,$Q$2:$Q$26,"Aprobada")&gt;0,AND(Resumen!$B$15="La cursada aprobada",COUNTIFS($F$2:$F$26,L8,$Q$2:$Q$26,"Cursada aprobada")&gt;0)),OR(M8="",COUNTIF($F$2:$F$26,M8)=0,COUNTIFS($F$2:$F$26,M8,$Q$2:$Q$26,"Aprobada")&gt;0,AND(Resumen!$B$15="La cursada aprobada",COUNTIFS($F$2:$F$26,M8,$Q$2:$Q$26,"Cursada aprobada")&gt;0)),OR(N8="",COUNTIF($F$2:$F$26,N8)=0,COUNTIFS($F$2:$F$26,N8,$Q$2:$Q$26,"Aprobada")&gt;0,AND(Resumen!$B$15="La cursada aprobada",COUNTIFS($F$2:$F$26,N8,$Q$2:$Q$26,"Cursada aprobada")&gt;0)),OR(O8="",COUNTIF($F$2:$F$26,O8)=0,COUNTIFS($F$2:$F$26,O8,$Q$2:$Q$26,"Aprobada")&gt;0,AND(Resumen!$B$15="La cursada aprobada",COUNTIFS($F$2:$F$26,O8,$Q$2:$Q$26,"Cursada aprobada")&gt;0)),OR(P8="",COUNTIF($F$2:$F$26,P8)=0,COUNTIFS($F$2:$F$26,P8,$Q$2:$Q$26,"Aprobada")&gt;0,AND(Resumen!$B$15="La cursada aprobada",COUNTIFS($F$2:$F$26,P8,$Q$2:$Q$26,"Cursada aprobada")&gt;0))),"Sí","No")))</f>
        <v>No</v>
      </c>
      <c r="S8" s="8" t="str">
        <f aca="false">TRIM(IF(NOT(OR(L8="",COUNTIF($F$2:$F$26,L8)=0,COUNTIFS($F$2:$F$26,L8,$Q$2:$Q$26,"Aprobada")&gt;0,AND(Resumen!$B$15="La cursada aprobada",COUNTIFS($F$2:$F$26,L8,$Q$2:$Q$26,"Cursada aprobada")&gt;0))),L8&amp;" ","")&amp;IF(NOT(OR(M8="",COUNTIF($F$2:$F$26,M8)=0,COUNTIFS($F$2:$F$26,M8,$Q$2:$Q$26,"Aprobada")&gt;0,AND(Resumen!$B$15="La cursada aprobada",COUNTIFS($F$2:$F$26,M8,$Q$2:$Q$26,"Cursada aprobada")&gt;0))),M8&amp;" ","")&amp;IF(NOT(OR(N8="",COUNTIF($F$2:$F$26,N8)=0,COUNTIFS($F$2:$F$26,N8,$Q$2:$Q$26,"Aprobada")&gt;0,AND(Resumen!$B$15="La cursada aprobada",COUNTIFS($F$2:$F$26,N8,$Q$2:$Q$26,"Cursada aprobada")&gt;0))),N8&amp;" ","")&amp;IF(NOT(OR(O8="",COUNTIF($F$2:$F$26,O8)=0,COUNTIFS($F$2:$F$26,O8,$Q$2:$Q$26,"Aprobada")&gt;0,AND(Resumen!$B$15="La cursada aprobada",COUNTIFS($F$2:$F$26,O8,$Q$2:$Q$26,"Cursada aprobada")&gt;0))),O8&amp;" ","")&amp;IF(NOT(OR(P8="",COUNTIF($F$2:$F$26,P8)=0,COUNTIFS($F$2:$F$26,P8,$Q$2:$Q$26,"Aprobada")&gt;0,AND(Resumen!$B$15="La cursada aprobada",COUNTIFS($F$2:$F$26,P8,$Q$2:$Q$26,"Cursada aprobada")&gt;0))),P8&amp;" ",""))</f>
        <v>291 292 293</v>
      </c>
      <c r="T8" s="9" t="str">
        <f aca="false">IF(Q8="Cursada aprobada",IF(AND(OR(L8="",COUNTIF($F$2:$F$26,L8)=0,COUNTIFS($F$2:$F$26,L8,$Q$2:$Q$26,"Aprobada")&gt;0),OR(M8="",COUNTIF($F$2:$F$26,M8)=0,COUNTIFS($F$2:$F$26,M8,$Q$2:$Q$26,"Aprobada")&gt;0),OR(N8="",COUNTIF($F$2:$F$26,N8)=0,COUNTIFS($F$2:$F$26,N8,$Q$2:$Q$26,"Aprobada")&gt;0),OR(O8="",COUNTIF($F$2:$F$26,O8)=0,COUNTIFS($F$2:$F$26,O8,$Q$2:$Q$26,"Aprobada")&gt;0),OR(P8="",COUNTIF($F$2:$F$26,P8)=0,COUNTIFS($F$2:$F$26,P8,$Q$2:$Q$26,"Aprobada")&gt;0)),"Sí","No"),"")</f>
        <v/>
      </c>
      <c r="U8" s="9" t="str">
        <f aca="false">IF(Q8="Aprobada",TRIM(IF(NOT(OR(L8="",COUNTIF($F$2:$F$26,L8)=0,COUNTIFS($F$2:$F$26,L8,$Q$2:$Q$26,"Aprobada")&gt;0)),L8&amp;" ","")&amp;IF(NOT(OR(M8="",COUNTIF($F$2:$F$26,M8)=0,COUNTIFS($F$2:$F$26,M8,$Q$2:$Q$26,"Aprobada")&gt;0)),M8&amp;" ","")&amp;IF(NOT(OR(N8="",COUNTIF($F$2:$F$26,N8)=0,COUNTIFS($F$2:$F$26,N8,$Q$2:$Q$26,"Aprobada")&gt;0)),N8&amp;" ","")&amp;IF(NOT(OR(O8="",COUNTIF($F$2:$F$26,O8)=0,COUNTIFS($F$2:$F$26,O8,$Q$2:$Q$26,"Aprobada")&gt;0)),O8&amp;" ","")&amp;IF(NOT(OR(P8="",COUNTIF($F$2:$F$26,P8)=0,COUNTIFS($F$2:$F$26,P8,$Q$2:$Q$26,"Aprobada")&gt;0)),P8&amp;" ","")),IF(Q8="Cursada aprobada",TRIM(IF(NOT(OR(L8="",COUNTIF($F$2:$F$26,L8)=0,COUNTIFS($F$2:$F$26,L8,$Q$2:$Q$26,"Aprobada")&gt;0,AND(Resumen!$B$15="La cursada aprobada",COUNTIFS($F$2:$F$26,L8,$Q$2:$Q$26,"Cursada aprobada")&gt;0))),L8&amp;" ","")&amp;IF(NOT(OR(M8="",COUNTIF($F$2:$F$26,M8)=0,COUNTIFS($F$2:$F$26,M8,$Q$2:$Q$26,"Aprobada")&gt;0,AND(Resumen!$B$15="La cursada aprobada",COUNTIFS($F$2:$F$26,M8,$Q$2:$Q$26,"Cursada aprobada")&gt;0))),M8&amp;" ","")&amp;IF(NOT(OR(N8="",COUNTIF($F$2:$F$26,N8)=0,COUNTIFS($F$2:$F$26,N8,$Q$2:$Q$26,"Aprobada")&gt;0,AND(Resumen!$B$15="La cursada aprobada",COUNTIFS($F$2:$F$26,N8,$Q$2:$Q$26,"Cursada aprobada")&gt;0))),N8&amp;" ","")&amp;IF(NOT(OR(O8="",COUNTIF($F$2:$F$26,O8)=0,COUNTIFS($F$2:$F$26,O8,$Q$2:$Q$26,"Aprobada")&gt;0,AND(Resumen!$B$15="La cursada aprobada",COUNTIFS($F$2:$F$26,O8,$Q$2:$Q$26,"Cursada aprobada")&gt;0))),O8&amp;" ","")&amp;IF(NOT(OR(P8="",COUNTIF($F$2:$F$26,P8)=0,COUNTIFS($F$2:$F$26,P8,$Q$2:$Q$26,"Aprobada")&gt;0,AND(Resumen!$B$15="La cursada aprobada",COUNTIFS($F$2:$F$26,P8,$Q$2:$Q$26,"Cursada aprobada")&gt;0))),P8&amp;" ","")),""))</f>
        <v/>
      </c>
    </row>
    <row r="9" customFormat="false" ht="15" hidden="false" customHeight="false" outlineLevel="0" collapsed="false">
      <c r="A9" s="8" t="s">
        <v>240</v>
      </c>
      <c r="B9" s="8"/>
      <c r="C9" s="9" t="n">
        <v>1</v>
      </c>
      <c r="D9" s="9" t="n">
        <v>2</v>
      </c>
      <c r="E9" s="9" t="s">
        <v>63</v>
      </c>
      <c r="F9" s="9" t="n">
        <v>1080</v>
      </c>
      <c r="G9" s="8" t="s">
        <v>136</v>
      </c>
      <c r="H9" s="9" t="s">
        <v>61</v>
      </c>
      <c r="I9" s="9" t="n">
        <v>6</v>
      </c>
      <c r="J9" s="9"/>
      <c r="K9" s="9" t="n">
        <v>96</v>
      </c>
      <c r="L9" s="9" t="n">
        <v>104</v>
      </c>
      <c r="M9" s="9"/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cursada",IF(AND(OR(L9="",COUNTIF($F$2:$F$26,L9)=0,COUNTIFS($F$2:$F$26,L9,$Q$2:$Q$26,"Aprobada")&gt;0,AND(Resumen!$B$15="La cursada aprobada",COUNTIFS($F$2:$F$26,L9,$Q$2:$Q$26,"Cursada aprobada")&gt;0)),OR(M9="",COUNTIF($F$2:$F$26,M9)=0,COUNTIFS($F$2:$F$26,M9,$Q$2:$Q$26,"Aprobada")&gt;0,AND(Resumen!$B$15="La cursada aprobada",COUNTIFS($F$2:$F$26,M9,$Q$2:$Q$26,"Cursada aprobada")&gt;0)),OR(N9="",COUNTIF($F$2:$F$26,N9)=0,COUNTIFS($F$2:$F$26,N9,$Q$2:$Q$26,"Aprobada")&gt;0,AND(Resumen!$B$15="La cursada aprobada",COUNTIFS($F$2:$F$26,N9,$Q$2:$Q$26,"Cursada aprobada")&gt;0)),OR(O9="",COUNTIF($F$2:$F$26,O9)=0,COUNTIFS($F$2:$F$26,O9,$Q$2:$Q$26,"Aprobada")&gt;0,AND(Resumen!$B$15="La cursada aprobada",COUNTIFS($F$2:$F$26,O9,$Q$2:$Q$26,"Cursada aprobada")&gt;0)),OR(P9="",COUNTIF($F$2:$F$26,P9)=0,COUNTIFS($F$2:$F$26,P9,$Q$2:$Q$26,"Aprobada")&gt;0,AND(Resumen!$B$15="La cursada aprobada",COUNTIFS($F$2:$F$26,P9,$Q$2:$Q$26,"Cursada aprobada")&gt;0))),"Sí","No")))</f>
        <v>No</v>
      </c>
      <c r="S9" s="8" t="str">
        <f aca="false">TRIM(IF(NOT(OR(L9="",COUNTIF($F$2:$F$26,L9)=0,COUNTIFS($F$2:$F$26,L9,$Q$2:$Q$26,"Aprobada")&gt;0,AND(Resumen!$B$15="La cursada aprobada",COUNTIFS($F$2:$F$26,L9,$Q$2:$Q$26,"Cursada aprobada")&gt;0))),L9&amp;" ","")&amp;IF(NOT(OR(M9="",COUNTIF($F$2:$F$26,M9)=0,COUNTIFS($F$2:$F$26,M9,$Q$2:$Q$26,"Aprobada")&gt;0,AND(Resumen!$B$15="La cursada aprobada",COUNTIFS($F$2:$F$26,M9,$Q$2:$Q$26,"Cursada aprobada")&gt;0))),M9&amp;" ","")&amp;IF(NOT(OR(N9="",COUNTIF($F$2:$F$26,N9)=0,COUNTIFS($F$2:$F$26,N9,$Q$2:$Q$26,"Aprobada")&gt;0,AND(Resumen!$B$15="La cursada aprobada",COUNTIFS($F$2:$F$26,N9,$Q$2:$Q$26,"Cursada aprobada")&gt;0))),N9&amp;" ","")&amp;IF(NOT(OR(O9="",COUNTIF($F$2:$F$26,O9)=0,COUNTIFS($F$2:$F$26,O9,$Q$2:$Q$26,"Aprobada")&gt;0,AND(Resumen!$B$15="La cursada aprobada",COUNTIFS($F$2:$F$26,O9,$Q$2:$Q$26,"Cursada aprobada")&gt;0))),O9&amp;" ","")&amp;IF(NOT(OR(P9="",COUNTIF($F$2:$F$26,P9)=0,COUNTIFS($F$2:$F$26,P9,$Q$2:$Q$26,"Aprobada")&gt;0,AND(Resumen!$B$15="La cursada aprobada",COUNTIFS($F$2:$F$26,P9,$Q$2:$Q$26,"Cursada aprobada")&gt;0))),P9&amp;" ",""))</f>
        <v>104</v>
      </c>
      <c r="T9" s="9" t="str">
        <f aca="false">IF(Q9="Cursada aprobada",IF(AND(OR(L9="",COUNTIF($F$2:$F$26,L9)=0,COUNTIFS($F$2:$F$26,L9,$Q$2:$Q$26,"Aprobada")&gt;0),OR(M9="",COUNTIF($F$2:$F$26,M9)=0,COUNTIFS($F$2:$F$26,M9,$Q$2:$Q$26,"Aprobada")&gt;0),OR(N9="",COUNTIF($F$2:$F$26,N9)=0,COUNTIFS($F$2:$F$26,N9,$Q$2:$Q$26,"Aprobada")&gt;0),OR(O9="",COUNTIF($F$2:$F$26,O9)=0,COUNTIFS($F$2:$F$26,O9,$Q$2:$Q$26,"Aprobada")&gt;0),OR(P9="",COUNTIF($F$2:$F$26,P9)=0,COUNTIFS($F$2:$F$26,P9,$Q$2:$Q$26,"Aprobada")&gt;0)),"Sí","No"),"")</f>
        <v/>
      </c>
      <c r="U9" s="9" t="str">
        <f aca="false">IF(Q9="Aprobada",TRIM(IF(NOT(OR(L9="",COUNTIF($F$2:$F$26,L9)=0,COUNTIFS($F$2:$F$26,L9,$Q$2:$Q$26,"Aprobada")&gt;0)),L9&amp;" ","")&amp;IF(NOT(OR(M9="",COUNTIF($F$2:$F$26,M9)=0,COUNTIFS($F$2:$F$26,M9,$Q$2:$Q$26,"Aprobada")&gt;0)),M9&amp;" ","")&amp;IF(NOT(OR(N9="",COUNTIF($F$2:$F$26,N9)=0,COUNTIFS($F$2:$F$26,N9,$Q$2:$Q$26,"Aprobada")&gt;0)),N9&amp;" ","")&amp;IF(NOT(OR(O9="",COUNTIF($F$2:$F$26,O9)=0,COUNTIFS($F$2:$F$26,O9,$Q$2:$Q$26,"Aprobada")&gt;0)),O9&amp;" ","")&amp;IF(NOT(OR(P9="",COUNTIF($F$2:$F$26,P9)=0,COUNTIFS($F$2:$F$26,P9,$Q$2:$Q$26,"Aprobada")&gt;0)),P9&amp;" ","")),IF(Q9="Cursada aprobada",TRIM(IF(NOT(OR(L9="",COUNTIF($F$2:$F$26,L9)=0,COUNTIFS($F$2:$F$26,L9,$Q$2:$Q$26,"Aprobada")&gt;0,AND(Resumen!$B$15="La cursada aprobada",COUNTIFS($F$2:$F$26,L9,$Q$2:$Q$26,"Cursada aprobada")&gt;0))),L9&amp;" ","")&amp;IF(NOT(OR(M9="",COUNTIF($F$2:$F$26,M9)=0,COUNTIFS($F$2:$F$26,M9,$Q$2:$Q$26,"Aprobada")&gt;0,AND(Resumen!$B$15="La cursada aprobada",COUNTIFS($F$2:$F$26,M9,$Q$2:$Q$26,"Cursada aprobada")&gt;0))),M9&amp;" ","")&amp;IF(NOT(OR(N9="",COUNTIF($F$2:$F$26,N9)=0,COUNTIFS($F$2:$F$26,N9,$Q$2:$Q$26,"Aprobada")&gt;0,AND(Resumen!$B$15="La cursada aprobada",COUNTIFS($F$2:$F$26,N9,$Q$2:$Q$26,"Cursada aprobada")&gt;0))),N9&amp;" ","")&amp;IF(NOT(OR(O9="",COUNTIF($F$2:$F$26,O9)=0,COUNTIFS($F$2:$F$26,O9,$Q$2:$Q$26,"Aprobada")&gt;0,AND(Resumen!$B$15="La cursada aprobada",COUNTIFS($F$2:$F$26,O9,$Q$2:$Q$26,"Cursada aprobada")&gt;0))),O9&amp;" ","")&amp;IF(NOT(OR(P9="",COUNTIF($F$2:$F$26,P9)=0,COUNTIFS($F$2:$F$26,P9,$Q$2:$Q$26,"Aprobada")&gt;0,AND(Resumen!$B$15="La cursada aprobada",COUNTIFS($F$2:$F$26,P9,$Q$2:$Q$26,"Cursada aprobada")&gt;0))),P9&amp;" ","")),""))</f>
        <v/>
      </c>
    </row>
    <row r="10" customFormat="false" ht="15" hidden="false" customHeight="false" outlineLevel="0" collapsed="false">
      <c r="A10" s="8" t="s">
        <v>240</v>
      </c>
      <c r="B10" s="8"/>
      <c r="C10" s="9" t="n">
        <v>1</v>
      </c>
      <c r="D10" s="9" t="n">
        <v>2</v>
      </c>
      <c r="E10" s="9" t="s">
        <v>63</v>
      </c>
      <c r="F10" s="9" t="n">
        <v>1082</v>
      </c>
      <c r="G10" s="8" t="s">
        <v>259</v>
      </c>
      <c r="H10" s="9" t="s">
        <v>61</v>
      </c>
      <c r="I10" s="9" t="n">
        <v>2</v>
      </c>
      <c r="J10" s="9"/>
      <c r="K10" s="9" t="n">
        <v>32</v>
      </c>
      <c r="L10" s="9" t="n">
        <v>104</v>
      </c>
      <c r="M10" s="9"/>
      <c r="N10" s="9"/>
      <c r="O10" s="9"/>
      <c r="P10" s="9"/>
      <c r="Q10" s="10" t="s">
        <v>62</v>
      </c>
      <c r="R10" s="9" t="str">
        <f aca="false">IF(Q10="Aprobada","Ya aprobada",IF(Q10="Cursada aprobada","Ya cursada",IF(AND(OR(L10="",COUNTIF($F$2:$F$26,L10)=0,COUNTIFS($F$2:$F$26,L10,$Q$2:$Q$26,"Aprobada")&gt;0,AND(Resumen!$B$15="La cursada aprobada",COUNTIFS($F$2:$F$26,L10,$Q$2:$Q$26,"Cursada aprobada")&gt;0)),OR(M10="",COUNTIF($F$2:$F$26,M10)=0,COUNTIFS($F$2:$F$26,M10,$Q$2:$Q$26,"Aprobada")&gt;0,AND(Resumen!$B$15="La cursada aprobada",COUNTIFS($F$2:$F$26,M10,$Q$2:$Q$26,"Cursada aprobada")&gt;0)),OR(N10="",COUNTIF($F$2:$F$26,N10)=0,COUNTIFS($F$2:$F$26,N10,$Q$2:$Q$26,"Aprobada")&gt;0,AND(Resumen!$B$15="La cursada aprobada",COUNTIFS($F$2:$F$26,N10,$Q$2:$Q$26,"Cursada aprobada")&gt;0)),OR(O10="",COUNTIF($F$2:$F$26,O10)=0,COUNTIFS($F$2:$F$26,O10,$Q$2:$Q$26,"Aprobada")&gt;0,AND(Resumen!$B$15="La cursada aprobada",COUNTIFS($F$2:$F$26,O10,$Q$2:$Q$26,"Cursada aprobada")&gt;0)),OR(P10="",COUNTIF($F$2:$F$26,P10)=0,COUNTIFS($F$2:$F$26,P10,$Q$2:$Q$26,"Aprobada")&gt;0,AND(Resumen!$B$15="La cursada aprobada",COUNTIFS($F$2:$F$26,P10,$Q$2:$Q$26,"Cursada aprobada")&gt;0))),"Sí","No")))</f>
        <v>No</v>
      </c>
      <c r="S10" s="8" t="str">
        <f aca="false">TRIM(IF(NOT(OR(L10="",COUNTIF($F$2:$F$26,L10)=0,COUNTIFS($F$2:$F$26,L10,$Q$2:$Q$26,"Aprobada")&gt;0,AND(Resumen!$B$15="La cursada aprobada",COUNTIFS($F$2:$F$26,L10,$Q$2:$Q$26,"Cursada aprobada")&gt;0))),L10&amp;" ","")&amp;IF(NOT(OR(M10="",COUNTIF($F$2:$F$26,M10)=0,COUNTIFS($F$2:$F$26,M10,$Q$2:$Q$26,"Aprobada")&gt;0,AND(Resumen!$B$15="La cursada aprobada",COUNTIFS($F$2:$F$26,M10,$Q$2:$Q$26,"Cursada aprobada")&gt;0))),M10&amp;" ","")&amp;IF(NOT(OR(N10="",COUNTIF($F$2:$F$26,N10)=0,COUNTIFS($F$2:$F$26,N10,$Q$2:$Q$26,"Aprobada")&gt;0,AND(Resumen!$B$15="La cursada aprobada",COUNTIFS($F$2:$F$26,N10,$Q$2:$Q$26,"Cursada aprobada")&gt;0))),N10&amp;" ","")&amp;IF(NOT(OR(O10="",COUNTIF($F$2:$F$26,O10)=0,COUNTIFS($F$2:$F$26,O10,$Q$2:$Q$26,"Aprobada")&gt;0,AND(Resumen!$B$15="La cursada aprobada",COUNTIFS($F$2:$F$26,O10,$Q$2:$Q$26,"Cursada aprobada")&gt;0))),O10&amp;" ","")&amp;IF(NOT(OR(P10="",COUNTIF($F$2:$F$26,P10)=0,COUNTIFS($F$2:$F$26,P10,$Q$2:$Q$26,"Aprobada")&gt;0,AND(Resumen!$B$15="La cursada aprobada",COUNTIFS($F$2:$F$26,P10,$Q$2:$Q$26,"Cursada aprobada")&gt;0))),P10&amp;" ",""))</f>
        <v>104</v>
      </c>
      <c r="T10" s="9" t="str">
        <f aca="false">IF(Q10="Cursada aprobada",IF(AND(OR(L10="",COUNTIF($F$2:$F$26,L10)=0,COUNTIFS($F$2:$F$26,L10,$Q$2:$Q$26,"Aprobada")&gt;0),OR(M10="",COUNTIF($F$2:$F$26,M10)=0,COUNTIFS($F$2:$F$26,M10,$Q$2:$Q$26,"Aprobada")&gt;0),OR(N10="",COUNTIF($F$2:$F$26,N10)=0,COUNTIFS($F$2:$F$26,N10,$Q$2:$Q$26,"Aprobada")&gt;0),OR(O10="",COUNTIF($F$2:$F$26,O10)=0,COUNTIFS($F$2:$F$26,O10,$Q$2:$Q$26,"Aprobada")&gt;0),OR(P10="",COUNTIF($F$2:$F$26,P10)=0,COUNTIFS($F$2:$F$26,P10,$Q$2:$Q$26,"Aprobada")&gt;0)),"Sí","No"),"")</f>
        <v/>
      </c>
      <c r="U10" s="9" t="str">
        <f aca="false">IF(Q10="Aprobada",TRIM(IF(NOT(OR(L10="",COUNTIF($F$2:$F$26,L10)=0,COUNTIFS($F$2:$F$26,L10,$Q$2:$Q$26,"Aprobada")&gt;0)),L10&amp;" ","")&amp;IF(NOT(OR(M10="",COUNTIF($F$2:$F$26,M10)=0,COUNTIFS($F$2:$F$26,M10,$Q$2:$Q$26,"Aprobada")&gt;0)),M10&amp;" ","")&amp;IF(NOT(OR(N10="",COUNTIF($F$2:$F$26,N10)=0,COUNTIFS($F$2:$F$26,N10,$Q$2:$Q$26,"Aprobada")&gt;0)),N10&amp;" ","")&amp;IF(NOT(OR(O10="",COUNTIF($F$2:$F$26,O10)=0,COUNTIFS($F$2:$F$26,O10,$Q$2:$Q$26,"Aprobada")&gt;0)),O10&amp;" ","")&amp;IF(NOT(OR(P10="",COUNTIF($F$2:$F$26,P10)=0,COUNTIFS($F$2:$F$26,P10,$Q$2:$Q$26,"Aprobada")&gt;0)),P10&amp;" ","")),IF(Q10="Cursada aprobada",TRIM(IF(NOT(OR(L10="",COUNTIF($F$2:$F$26,L10)=0,COUNTIFS($F$2:$F$26,L10,$Q$2:$Q$26,"Aprobada")&gt;0,AND(Resumen!$B$15="La cursada aprobada",COUNTIFS($F$2:$F$26,L10,$Q$2:$Q$26,"Cursada aprobada")&gt;0))),L10&amp;" ","")&amp;IF(NOT(OR(M10="",COUNTIF($F$2:$F$26,M10)=0,COUNTIFS($F$2:$F$26,M10,$Q$2:$Q$26,"Aprobada")&gt;0,AND(Resumen!$B$15="La cursada aprobada",COUNTIFS($F$2:$F$26,M10,$Q$2:$Q$26,"Cursada aprobada")&gt;0))),M10&amp;" ","")&amp;IF(NOT(OR(N10="",COUNTIF($F$2:$F$26,N10)=0,COUNTIFS($F$2:$F$26,N10,$Q$2:$Q$26,"Aprobada")&gt;0,AND(Resumen!$B$15="La cursada aprobada",COUNTIFS($F$2:$F$26,N10,$Q$2:$Q$26,"Cursada aprobada")&gt;0))),N10&amp;" ","")&amp;IF(NOT(OR(O10="",COUNTIF($F$2:$F$26,O10)=0,COUNTIFS($F$2:$F$26,O10,$Q$2:$Q$26,"Aprobada")&gt;0,AND(Resumen!$B$15="La cursada aprobada",COUNTIFS($F$2:$F$26,O10,$Q$2:$Q$26,"Cursada aprobada")&gt;0))),O10&amp;" ","")&amp;IF(NOT(OR(P10="",COUNTIF($F$2:$F$26,P10)=0,COUNTIFS($F$2:$F$26,P10,$Q$2:$Q$26,"Aprobada")&gt;0,AND(Resumen!$B$15="La cursada aprobada",COUNTIFS($F$2:$F$26,P10,$Q$2:$Q$26,"Cursada aprobada")&gt;0))),P10&amp;" ","")),""))</f>
        <v/>
      </c>
    </row>
    <row r="11" customFormat="false" ht="15" hidden="false" customHeight="false" outlineLevel="0" collapsed="false">
      <c r="A11" s="8" t="s">
        <v>240</v>
      </c>
      <c r="B11" s="8"/>
      <c r="C11" s="9" t="n">
        <v>2</v>
      </c>
      <c r="D11" s="9" t="n">
        <v>1</v>
      </c>
      <c r="E11" s="9" t="s">
        <v>77</v>
      </c>
      <c r="F11" s="9" t="n">
        <v>1081</v>
      </c>
      <c r="G11" s="8" t="s">
        <v>245</v>
      </c>
      <c r="H11" s="9" t="s">
        <v>71</v>
      </c>
      <c r="I11" s="9" t="n">
        <v>4</v>
      </c>
      <c r="J11" s="9"/>
      <c r="K11" s="9" t="n">
        <v>64</v>
      </c>
      <c r="L11" s="9" t="n">
        <v>291</v>
      </c>
      <c r="M11" s="9" t="n">
        <v>292</v>
      </c>
      <c r="N11" s="9" t="n">
        <v>293</v>
      </c>
      <c r="O11" s="9"/>
      <c r="P11" s="9"/>
      <c r="Q11" s="10" t="s">
        <v>62</v>
      </c>
      <c r="R11" s="9" t="str">
        <f aca="false">IF(Q11="Aprobada","Ya aprobada",IF(Q11="Cursada aprobada","Ya cursada",IF(AND(OR(L11="",COUNTIF($F$2:$F$26,L11)=0,COUNTIFS($F$2:$F$26,L11,$Q$2:$Q$26,"Aprobada")&gt;0,AND(Resumen!$B$15="La cursada aprobada",COUNTIFS($F$2:$F$26,L11,$Q$2:$Q$26,"Cursada aprobada")&gt;0)),OR(M11="",COUNTIF($F$2:$F$26,M11)=0,COUNTIFS($F$2:$F$26,M11,$Q$2:$Q$26,"Aprobada")&gt;0,AND(Resumen!$B$15="La cursada aprobada",COUNTIFS($F$2:$F$26,M11,$Q$2:$Q$26,"Cursada aprobada")&gt;0)),OR(N11="",COUNTIF($F$2:$F$26,N11)=0,COUNTIFS($F$2:$F$26,N11,$Q$2:$Q$26,"Aprobada")&gt;0,AND(Resumen!$B$15="La cursada aprobada",COUNTIFS($F$2:$F$26,N11,$Q$2:$Q$26,"Cursada aprobada")&gt;0)),OR(O11="",COUNTIF($F$2:$F$26,O11)=0,COUNTIFS($F$2:$F$26,O11,$Q$2:$Q$26,"Aprobada")&gt;0,AND(Resumen!$B$15="La cursada aprobada",COUNTIFS($F$2:$F$26,O11,$Q$2:$Q$26,"Cursada aprobada")&gt;0)),OR(P11="",COUNTIF($F$2:$F$26,P11)=0,COUNTIFS($F$2:$F$26,P11,$Q$2:$Q$26,"Aprobada")&gt;0,AND(Resumen!$B$15="La cursada aprobada",COUNTIFS($F$2:$F$26,P11,$Q$2:$Q$26,"Cursada aprobada")&gt;0))),"Sí","No")))</f>
        <v>No</v>
      </c>
      <c r="S11" s="8" t="str">
        <f aca="false">TRIM(IF(NOT(OR(L11="",COUNTIF($F$2:$F$26,L11)=0,COUNTIFS($F$2:$F$26,L11,$Q$2:$Q$26,"Aprobada")&gt;0,AND(Resumen!$B$15="La cursada aprobada",COUNTIFS($F$2:$F$26,L11,$Q$2:$Q$26,"Cursada aprobada")&gt;0))),L11&amp;" ","")&amp;IF(NOT(OR(M11="",COUNTIF($F$2:$F$26,M11)=0,COUNTIFS($F$2:$F$26,M11,$Q$2:$Q$26,"Aprobada")&gt;0,AND(Resumen!$B$15="La cursada aprobada",COUNTIFS($F$2:$F$26,M11,$Q$2:$Q$26,"Cursada aprobada")&gt;0))),M11&amp;" ","")&amp;IF(NOT(OR(N11="",COUNTIF($F$2:$F$26,N11)=0,COUNTIFS($F$2:$F$26,N11,$Q$2:$Q$26,"Aprobada")&gt;0,AND(Resumen!$B$15="La cursada aprobada",COUNTIFS($F$2:$F$26,N11,$Q$2:$Q$26,"Cursada aprobada")&gt;0))),N11&amp;" ","")&amp;IF(NOT(OR(O11="",COUNTIF($F$2:$F$26,O11)=0,COUNTIFS($F$2:$F$26,O11,$Q$2:$Q$26,"Aprobada")&gt;0,AND(Resumen!$B$15="La cursada aprobada",COUNTIFS($F$2:$F$26,O11,$Q$2:$Q$26,"Cursada aprobada")&gt;0))),O11&amp;" ","")&amp;IF(NOT(OR(P11="",COUNTIF($F$2:$F$26,P11)=0,COUNTIFS($F$2:$F$26,P11,$Q$2:$Q$26,"Aprobada")&gt;0,AND(Resumen!$B$15="La cursada aprobada",COUNTIFS($F$2:$F$26,P11,$Q$2:$Q$26,"Cursada aprobada")&gt;0))),P11&amp;" ",""))</f>
        <v>291 292 293</v>
      </c>
      <c r="T11" s="9" t="str">
        <f aca="false">IF(Q11="Cursada aprobada",IF(AND(OR(L11="",COUNTIF($F$2:$F$26,L11)=0,COUNTIFS($F$2:$F$26,L11,$Q$2:$Q$26,"Aprobada")&gt;0),OR(M11="",COUNTIF($F$2:$F$26,M11)=0,COUNTIFS($F$2:$F$26,M11,$Q$2:$Q$26,"Aprobada")&gt;0),OR(N11="",COUNTIF($F$2:$F$26,N11)=0,COUNTIFS($F$2:$F$26,N11,$Q$2:$Q$26,"Aprobada")&gt;0),OR(O11="",COUNTIF($F$2:$F$26,O11)=0,COUNTIFS($F$2:$F$26,O11,$Q$2:$Q$26,"Aprobada")&gt;0),OR(P11="",COUNTIF($F$2:$F$26,P11)=0,COUNTIFS($F$2:$F$26,P11,$Q$2:$Q$26,"Aprobada")&gt;0)),"Sí","No"),"")</f>
        <v/>
      </c>
      <c r="U11" s="9" t="str">
        <f aca="false">IF(Q11="Aprobada",TRIM(IF(NOT(OR(L11="",COUNTIF($F$2:$F$26,L11)=0,COUNTIFS($F$2:$F$26,L11,$Q$2:$Q$26,"Aprobada")&gt;0)),L11&amp;" ","")&amp;IF(NOT(OR(M11="",COUNTIF($F$2:$F$26,M11)=0,COUNTIFS($F$2:$F$26,M11,$Q$2:$Q$26,"Aprobada")&gt;0)),M11&amp;" ","")&amp;IF(NOT(OR(N11="",COUNTIF($F$2:$F$26,N11)=0,COUNTIFS($F$2:$F$26,N11,$Q$2:$Q$26,"Aprobada")&gt;0)),N11&amp;" ","")&amp;IF(NOT(OR(O11="",COUNTIF($F$2:$F$26,O11)=0,COUNTIFS($F$2:$F$26,O11,$Q$2:$Q$26,"Aprobada")&gt;0)),O11&amp;" ","")&amp;IF(NOT(OR(P11="",COUNTIF($F$2:$F$26,P11)=0,COUNTIFS($F$2:$F$26,P11,$Q$2:$Q$26,"Aprobada")&gt;0)),P11&amp;" ","")),IF(Q11="Cursada aprobada",TRIM(IF(NOT(OR(L11="",COUNTIF($F$2:$F$26,L11)=0,COUNTIFS($F$2:$F$26,L11,$Q$2:$Q$26,"Aprobada")&gt;0,AND(Resumen!$B$15="La cursada aprobada",COUNTIFS($F$2:$F$26,L11,$Q$2:$Q$26,"Cursada aprobada")&gt;0))),L11&amp;" ","")&amp;IF(NOT(OR(M11="",COUNTIF($F$2:$F$26,M11)=0,COUNTIFS($F$2:$F$26,M11,$Q$2:$Q$26,"Aprobada")&gt;0,AND(Resumen!$B$15="La cursada aprobada",COUNTIFS($F$2:$F$26,M11,$Q$2:$Q$26,"Cursada aprobada")&gt;0))),M11&amp;" ","")&amp;IF(NOT(OR(N11="",COUNTIF($F$2:$F$26,N11)=0,COUNTIFS($F$2:$F$26,N11,$Q$2:$Q$26,"Aprobada")&gt;0,AND(Resumen!$B$15="La cursada aprobada",COUNTIFS($F$2:$F$26,N11,$Q$2:$Q$26,"Cursada aprobada")&gt;0))),N11&amp;" ","")&amp;IF(NOT(OR(O11="",COUNTIF($F$2:$F$26,O11)=0,COUNTIFS($F$2:$F$26,O11,$Q$2:$Q$26,"Aprobada")&gt;0,AND(Resumen!$B$15="La cursada aprobada",COUNTIFS($F$2:$F$26,O11,$Q$2:$Q$26,"Cursada aprobada")&gt;0))),O11&amp;" ","")&amp;IF(NOT(OR(P11="",COUNTIF($F$2:$F$26,P11)=0,COUNTIFS($F$2:$F$26,P11,$Q$2:$Q$26,"Aprobada")&gt;0,AND(Resumen!$B$15="La cursada aprobada",COUNTIFS($F$2:$F$26,P11,$Q$2:$Q$26,"Cursada aprobada")&gt;0))),P11&amp;" ","")),""))</f>
        <v/>
      </c>
    </row>
    <row r="12" customFormat="false" ht="15" hidden="false" customHeight="false" outlineLevel="0" collapsed="false">
      <c r="A12" s="8" t="s">
        <v>240</v>
      </c>
      <c r="B12" s="8"/>
      <c r="C12" s="9" t="n">
        <v>2</v>
      </c>
      <c r="D12" s="9" t="n">
        <v>1</v>
      </c>
      <c r="E12" s="9" t="s">
        <v>63</v>
      </c>
      <c r="F12" s="9" t="n">
        <v>1084</v>
      </c>
      <c r="G12" s="8" t="s">
        <v>260</v>
      </c>
      <c r="H12" s="9" t="s">
        <v>61</v>
      </c>
      <c r="I12" s="9" t="n">
        <v>6</v>
      </c>
      <c r="J12" s="9"/>
      <c r="K12" s="9" t="n">
        <v>96</v>
      </c>
      <c r="L12" s="9" t="n">
        <v>1082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cursada",IF(AND(OR(L12="",COUNTIF($F$2:$F$26,L12)=0,COUNTIFS($F$2:$F$26,L12,$Q$2:$Q$26,"Aprobada")&gt;0,AND(Resumen!$B$15="La cursada aprobada",COUNTIFS($F$2:$F$26,L12,$Q$2:$Q$26,"Cursada aprobada")&gt;0)),OR(M12="",COUNTIF($F$2:$F$26,M12)=0,COUNTIFS($F$2:$F$26,M12,$Q$2:$Q$26,"Aprobada")&gt;0,AND(Resumen!$B$15="La cursada aprobada",COUNTIFS($F$2:$F$26,M12,$Q$2:$Q$26,"Cursada aprobada")&gt;0)),OR(N12="",COUNTIF($F$2:$F$26,N12)=0,COUNTIFS($F$2:$F$26,N12,$Q$2:$Q$26,"Aprobada")&gt;0,AND(Resumen!$B$15="La cursada aprobada",COUNTIFS($F$2:$F$26,N12,$Q$2:$Q$26,"Cursada aprobada")&gt;0)),OR(O12="",COUNTIF($F$2:$F$26,O12)=0,COUNTIFS($F$2:$F$26,O12,$Q$2:$Q$26,"Aprobada")&gt;0,AND(Resumen!$B$15="La cursada aprobada",COUNTIFS($F$2:$F$26,O12,$Q$2:$Q$26,"Cursada aprobada")&gt;0)),OR(P12="",COUNTIF($F$2:$F$26,P12)=0,COUNTIFS($F$2:$F$26,P12,$Q$2:$Q$26,"Aprobada")&gt;0,AND(Resumen!$B$15="La cursada aprobada",COUNTIFS($F$2:$F$26,P12,$Q$2:$Q$26,"Cursada aprobada")&gt;0))),"Sí","No")))</f>
        <v>No</v>
      </c>
      <c r="S12" s="8" t="str">
        <f aca="false">TRIM(IF(NOT(OR(L12="",COUNTIF($F$2:$F$26,L12)=0,COUNTIFS($F$2:$F$26,L12,$Q$2:$Q$26,"Aprobada")&gt;0,AND(Resumen!$B$15="La cursada aprobada",COUNTIFS($F$2:$F$26,L12,$Q$2:$Q$26,"Cursada aprobada")&gt;0))),L12&amp;" ","")&amp;IF(NOT(OR(M12="",COUNTIF($F$2:$F$26,M12)=0,COUNTIFS($F$2:$F$26,M12,$Q$2:$Q$26,"Aprobada")&gt;0,AND(Resumen!$B$15="La cursada aprobada",COUNTIFS($F$2:$F$26,M12,$Q$2:$Q$26,"Cursada aprobada")&gt;0))),M12&amp;" ","")&amp;IF(NOT(OR(N12="",COUNTIF($F$2:$F$26,N12)=0,COUNTIFS($F$2:$F$26,N12,$Q$2:$Q$26,"Aprobada")&gt;0,AND(Resumen!$B$15="La cursada aprobada",COUNTIFS($F$2:$F$26,N12,$Q$2:$Q$26,"Cursada aprobada")&gt;0))),N12&amp;" ","")&amp;IF(NOT(OR(O12="",COUNTIF($F$2:$F$26,O12)=0,COUNTIFS($F$2:$F$26,O12,$Q$2:$Q$26,"Aprobada")&gt;0,AND(Resumen!$B$15="La cursada aprobada",COUNTIFS($F$2:$F$26,O12,$Q$2:$Q$26,"Cursada aprobada")&gt;0))),O12&amp;" ","")&amp;IF(NOT(OR(P12="",COUNTIF($F$2:$F$26,P12)=0,COUNTIFS($F$2:$F$26,P12,$Q$2:$Q$26,"Aprobada")&gt;0,AND(Resumen!$B$15="La cursada aprobada",COUNTIFS($F$2:$F$26,P12,$Q$2:$Q$26,"Cursada aprobada")&gt;0))),P12&amp;" ",""))</f>
        <v>1082</v>
      </c>
      <c r="T12" s="9" t="str">
        <f aca="false">IF(Q12="Cursada aprobada",IF(AND(OR(L12="",COUNTIF($F$2:$F$26,L12)=0,COUNTIFS($F$2:$F$26,L12,$Q$2:$Q$26,"Aprobada")&gt;0),OR(M12="",COUNTIF($F$2:$F$26,M12)=0,COUNTIFS($F$2:$F$26,M12,$Q$2:$Q$26,"Aprobada")&gt;0),OR(N12="",COUNTIF($F$2:$F$26,N12)=0,COUNTIFS($F$2:$F$26,N12,$Q$2:$Q$26,"Aprobada")&gt;0),OR(O12="",COUNTIF($F$2:$F$26,O12)=0,COUNTIFS($F$2:$F$26,O12,$Q$2:$Q$26,"Aprobada")&gt;0),OR(P12="",COUNTIF($F$2:$F$26,P12)=0,COUNTIFS($F$2:$F$26,P12,$Q$2:$Q$26,"Aprobada")&gt;0)),"Sí","No"),"")</f>
        <v/>
      </c>
      <c r="U12" s="9" t="str">
        <f aca="false">IF(Q12="Aprobada",TRIM(IF(NOT(OR(L12="",COUNTIF($F$2:$F$26,L12)=0,COUNTIFS($F$2:$F$26,L12,$Q$2:$Q$26,"Aprobada")&gt;0)),L12&amp;" ","")&amp;IF(NOT(OR(M12="",COUNTIF($F$2:$F$26,M12)=0,COUNTIFS($F$2:$F$26,M12,$Q$2:$Q$26,"Aprobada")&gt;0)),M12&amp;" ","")&amp;IF(NOT(OR(N12="",COUNTIF($F$2:$F$26,N12)=0,COUNTIFS($F$2:$F$26,N12,$Q$2:$Q$26,"Aprobada")&gt;0)),N12&amp;" ","")&amp;IF(NOT(OR(O12="",COUNTIF($F$2:$F$26,O12)=0,COUNTIFS($F$2:$F$26,O12,$Q$2:$Q$26,"Aprobada")&gt;0)),O12&amp;" ","")&amp;IF(NOT(OR(P12="",COUNTIF($F$2:$F$26,P12)=0,COUNTIFS($F$2:$F$26,P12,$Q$2:$Q$26,"Aprobada")&gt;0)),P12&amp;" ","")),IF(Q12="Cursada aprobada",TRIM(IF(NOT(OR(L12="",COUNTIF($F$2:$F$26,L12)=0,COUNTIFS($F$2:$F$26,L12,$Q$2:$Q$26,"Aprobada")&gt;0,AND(Resumen!$B$15="La cursada aprobada",COUNTIFS($F$2:$F$26,L12,$Q$2:$Q$26,"Cursada aprobada")&gt;0))),L12&amp;" ","")&amp;IF(NOT(OR(M12="",COUNTIF($F$2:$F$26,M12)=0,COUNTIFS($F$2:$F$26,M12,$Q$2:$Q$26,"Aprobada")&gt;0,AND(Resumen!$B$15="La cursada aprobada",COUNTIFS($F$2:$F$26,M12,$Q$2:$Q$26,"Cursada aprobada")&gt;0))),M12&amp;" ","")&amp;IF(NOT(OR(N12="",COUNTIF($F$2:$F$26,N12)=0,COUNTIFS($F$2:$F$26,N12,$Q$2:$Q$26,"Aprobada")&gt;0,AND(Resumen!$B$15="La cursada aprobada",COUNTIFS($F$2:$F$26,N12,$Q$2:$Q$26,"Cursada aprobada")&gt;0))),N12&amp;" ","")&amp;IF(NOT(OR(O12="",COUNTIF($F$2:$F$26,O12)=0,COUNTIFS($F$2:$F$26,O12,$Q$2:$Q$26,"Aprobada")&gt;0,AND(Resumen!$B$15="La cursada aprobada",COUNTIFS($F$2:$F$26,O12,$Q$2:$Q$26,"Cursada aprobada")&gt;0))),O12&amp;" ","")&amp;IF(NOT(OR(P12="",COUNTIF($F$2:$F$26,P12)=0,COUNTIFS($F$2:$F$26,P12,$Q$2:$Q$26,"Aprobada")&gt;0,AND(Resumen!$B$15="La cursada aprobada",COUNTIFS($F$2:$F$26,P12,$Q$2:$Q$26,"Cursada aprobada")&gt;0))),P12&amp;" ","")),""))</f>
        <v/>
      </c>
    </row>
    <row r="13" customFormat="false" ht="15" hidden="false" customHeight="false" outlineLevel="0" collapsed="false">
      <c r="A13" s="8" t="s">
        <v>240</v>
      </c>
      <c r="B13" s="8"/>
      <c r="C13" s="9" t="n">
        <v>2</v>
      </c>
      <c r="D13" s="9" t="n">
        <v>1</v>
      </c>
      <c r="E13" s="9" t="s">
        <v>69</v>
      </c>
      <c r="F13" s="9" t="n">
        <v>1085</v>
      </c>
      <c r="G13" s="8" t="s">
        <v>261</v>
      </c>
      <c r="H13" s="9" t="s">
        <v>71</v>
      </c>
      <c r="I13" s="9" t="n">
        <v>4</v>
      </c>
      <c r="J13" s="9"/>
      <c r="K13" s="9" t="n">
        <v>64</v>
      </c>
      <c r="L13" s="9" t="n">
        <v>104</v>
      </c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cursada",IF(AND(OR(L13="",COUNTIF($F$2:$F$26,L13)=0,COUNTIFS($F$2:$F$26,L13,$Q$2:$Q$26,"Aprobada")&gt;0,AND(Resumen!$B$15="La cursada aprobada",COUNTIFS($F$2:$F$26,L13,$Q$2:$Q$26,"Cursada aprobada")&gt;0)),OR(M13="",COUNTIF($F$2:$F$26,M13)=0,COUNTIFS($F$2:$F$26,M13,$Q$2:$Q$26,"Aprobada")&gt;0,AND(Resumen!$B$15="La cursada aprobada",COUNTIFS($F$2:$F$26,M13,$Q$2:$Q$26,"Cursada aprobada")&gt;0)),OR(N13="",COUNTIF($F$2:$F$26,N13)=0,COUNTIFS($F$2:$F$26,N13,$Q$2:$Q$26,"Aprobada")&gt;0,AND(Resumen!$B$15="La cursada aprobada",COUNTIFS($F$2:$F$26,N13,$Q$2:$Q$26,"Cursada aprobada")&gt;0)),OR(O13="",COUNTIF($F$2:$F$26,O13)=0,COUNTIFS($F$2:$F$26,O13,$Q$2:$Q$26,"Aprobada")&gt;0,AND(Resumen!$B$15="La cursada aprobada",COUNTIFS($F$2:$F$26,O13,$Q$2:$Q$26,"Cursada aprobada")&gt;0)),OR(P13="",COUNTIF($F$2:$F$26,P13)=0,COUNTIFS($F$2:$F$26,P13,$Q$2:$Q$26,"Aprobada")&gt;0,AND(Resumen!$B$15="La cursada aprobada",COUNTIFS($F$2:$F$26,P13,$Q$2:$Q$26,"Cursada aprobada")&gt;0))),"Sí","No")))</f>
        <v>No</v>
      </c>
      <c r="S13" s="8" t="str">
        <f aca="false">TRIM(IF(NOT(OR(L13="",COUNTIF($F$2:$F$26,L13)=0,COUNTIFS($F$2:$F$26,L13,$Q$2:$Q$26,"Aprobada")&gt;0,AND(Resumen!$B$15="La cursada aprobada",COUNTIFS($F$2:$F$26,L13,$Q$2:$Q$26,"Cursada aprobada")&gt;0))),L13&amp;" ","")&amp;IF(NOT(OR(M13="",COUNTIF($F$2:$F$26,M13)=0,COUNTIFS($F$2:$F$26,M13,$Q$2:$Q$26,"Aprobada")&gt;0,AND(Resumen!$B$15="La cursada aprobada",COUNTIFS($F$2:$F$26,M13,$Q$2:$Q$26,"Cursada aprobada")&gt;0))),M13&amp;" ","")&amp;IF(NOT(OR(N13="",COUNTIF($F$2:$F$26,N13)=0,COUNTIFS($F$2:$F$26,N13,$Q$2:$Q$26,"Aprobada")&gt;0,AND(Resumen!$B$15="La cursada aprobada",COUNTIFS($F$2:$F$26,N13,$Q$2:$Q$26,"Cursada aprobada")&gt;0))),N13&amp;" ","")&amp;IF(NOT(OR(O13="",COUNTIF($F$2:$F$26,O13)=0,COUNTIFS($F$2:$F$26,O13,$Q$2:$Q$26,"Aprobada")&gt;0,AND(Resumen!$B$15="La cursada aprobada",COUNTIFS($F$2:$F$26,O13,$Q$2:$Q$26,"Cursada aprobada")&gt;0))),O13&amp;" ","")&amp;IF(NOT(OR(P13="",COUNTIF($F$2:$F$26,P13)=0,COUNTIFS($F$2:$F$26,P13,$Q$2:$Q$26,"Aprobada")&gt;0,AND(Resumen!$B$15="La cursada aprobada",COUNTIFS($F$2:$F$26,P13,$Q$2:$Q$26,"Cursada aprobada")&gt;0))),P13&amp;" ",""))</f>
        <v>104</v>
      </c>
      <c r="T13" s="9" t="str">
        <f aca="false">IF(Q13="Cursada aprobada",IF(AND(OR(L13="",COUNTIF($F$2:$F$26,L13)=0,COUNTIFS($F$2:$F$26,L13,$Q$2:$Q$26,"Aprobada")&gt;0),OR(M13="",COUNTIF($F$2:$F$26,M13)=0,COUNTIFS($F$2:$F$26,M13,$Q$2:$Q$26,"Aprobada")&gt;0),OR(N13="",COUNTIF($F$2:$F$26,N13)=0,COUNTIFS($F$2:$F$26,N13,$Q$2:$Q$26,"Aprobada")&gt;0),OR(O13="",COUNTIF($F$2:$F$26,O13)=0,COUNTIFS($F$2:$F$26,O13,$Q$2:$Q$26,"Aprobada")&gt;0),OR(P13="",COUNTIF($F$2:$F$26,P13)=0,COUNTIFS($F$2:$F$26,P13,$Q$2:$Q$26,"Aprobada")&gt;0)),"Sí","No"),"")</f>
        <v/>
      </c>
      <c r="U13" s="9" t="str">
        <f aca="false">IF(Q13="Aprobada",TRIM(IF(NOT(OR(L13="",COUNTIF($F$2:$F$26,L13)=0,COUNTIFS($F$2:$F$26,L13,$Q$2:$Q$26,"Aprobada")&gt;0)),L13&amp;" ","")&amp;IF(NOT(OR(M13="",COUNTIF($F$2:$F$26,M13)=0,COUNTIFS($F$2:$F$26,M13,$Q$2:$Q$26,"Aprobada")&gt;0)),M13&amp;" ","")&amp;IF(NOT(OR(N13="",COUNTIF($F$2:$F$26,N13)=0,COUNTIFS($F$2:$F$26,N13,$Q$2:$Q$26,"Aprobada")&gt;0)),N13&amp;" ","")&amp;IF(NOT(OR(O13="",COUNTIF($F$2:$F$26,O13)=0,COUNTIFS($F$2:$F$26,O13,$Q$2:$Q$26,"Aprobada")&gt;0)),O13&amp;" ","")&amp;IF(NOT(OR(P13="",COUNTIF($F$2:$F$26,P13)=0,COUNTIFS($F$2:$F$26,P13,$Q$2:$Q$26,"Aprobada")&gt;0)),P13&amp;" ","")),IF(Q13="Cursada aprobada",TRIM(IF(NOT(OR(L13="",COUNTIF($F$2:$F$26,L13)=0,COUNTIFS($F$2:$F$26,L13,$Q$2:$Q$26,"Aprobada")&gt;0,AND(Resumen!$B$15="La cursada aprobada",COUNTIFS($F$2:$F$26,L13,$Q$2:$Q$26,"Cursada aprobada")&gt;0))),L13&amp;" ","")&amp;IF(NOT(OR(M13="",COUNTIF($F$2:$F$26,M13)=0,COUNTIFS($F$2:$F$26,M13,$Q$2:$Q$26,"Aprobada")&gt;0,AND(Resumen!$B$15="La cursada aprobada",COUNTIFS($F$2:$F$26,M13,$Q$2:$Q$26,"Cursada aprobada")&gt;0))),M13&amp;" ","")&amp;IF(NOT(OR(N13="",COUNTIF($F$2:$F$26,N13)=0,COUNTIFS($F$2:$F$26,N13,$Q$2:$Q$26,"Aprobada")&gt;0,AND(Resumen!$B$15="La cursada aprobada",COUNTIFS($F$2:$F$26,N13,$Q$2:$Q$26,"Cursada aprobada")&gt;0))),N13&amp;" ","")&amp;IF(NOT(OR(O13="",COUNTIF($F$2:$F$26,O13)=0,COUNTIFS($F$2:$F$26,O13,$Q$2:$Q$26,"Aprobada")&gt;0,AND(Resumen!$B$15="La cursada aprobada",COUNTIFS($F$2:$F$26,O13,$Q$2:$Q$26,"Cursada aprobada")&gt;0))),O13&amp;" ","")&amp;IF(NOT(OR(P13="",COUNTIF($F$2:$F$26,P13)=0,COUNTIFS($F$2:$F$26,P13,$Q$2:$Q$26,"Aprobada")&gt;0,AND(Resumen!$B$15="La cursada aprobada",COUNTIFS($F$2:$F$26,P13,$Q$2:$Q$26,"Cursada aprobada")&gt;0))),P13&amp;" ","")),""))</f>
        <v/>
      </c>
    </row>
    <row r="14" customFormat="false" ht="15" hidden="false" customHeight="false" outlineLevel="0" collapsed="false">
      <c r="A14" s="8" t="s">
        <v>240</v>
      </c>
      <c r="B14" s="8"/>
      <c r="C14" s="9" t="n">
        <v>2</v>
      </c>
      <c r="D14" s="9" t="n">
        <v>2</v>
      </c>
      <c r="E14" s="9" t="s">
        <v>99</v>
      </c>
      <c r="F14" s="9" t="n">
        <v>499</v>
      </c>
      <c r="G14" s="8" t="s">
        <v>100</v>
      </c>
      <c r="H14" s="9" t="s">
        <v>92</v>
      </c>
      <c r="I14" s="9" t="n">
        <v>2</v>
      </c>
      <c r="J14" s="9"/>
      <c r="K14" s="9" t="n">
        <v>32</v>
      </c>
      <c r="L14" s="9" t="n">
        <v>291</v>
      </c>
      <c r="M14" s="9" t="n">
        <v>292</v>
      </c>
      <c r="N14" s="9" t="n">
        <v>293</v>
      </c>
      <c r="O14" s="9"/>
      <c r="P14" s="9"/>
      <c r="Q14" s="10" t="s">
        <v>62</v>
      </c>
      <c r="R14" s="9" t="str">
        <f aca="false">IF(Q14="Aprobada","Ya aprobada",IF(Q14="Cursada aprobada","Ya cursada",IF(AND(OR(L14="",COUNTIF($F$2:$F$26,L14)=0,COUNTIFS($F$2:$F$26,L14,$Q$2:$Q$26,"Aprobada")&gt;0,AND(Resumen!$B$15="La cursada aprobada",COUNTIFS($F$2:$F$26,L14,$Q$2:$Q$26,"Cursada aprobada")&gt;0)),OR(M14="",COUNTIF($F$2:$F$26,M14)=0,COUNTIFS($F$2:$F$26,M14,$Q$2:$Q$26,"Aprobada")&gt;0,AND(Resumen!$B$15="La cursada aprobada",COUNTIFS($F$2:$F$26,M14,$Q$2:$Q$26,"Cursada aprobada")&gt;0)),OR(N14="",COUNTIF($F$2:$F$26,N14)=0,COUNTIFS($F$2:$F$26,N14,$Q$2:$Q$26,"Aprobada")&gt;0,AND(Resumen!$B$15="La cursada aprobada",COUNTIFS($F$2:$F$26,N14,$Q$2:$Q$26,"Cursada aprobada")&gt;0)),OR(O14="",COUNTIF($F$2:$F$26,O14)=0,COUNTIFS($F$2:$F$26,O14,$Q$2:$Q$26,"Aprobada")&gt;0,AND(Resumen!$B$15="La cursada aprobada",COUNTIFS($F$2:$F$26,O14,$Q$2:$Q$26,"Cursada aprobada")&gt;0)),OR(P14="",COUNTIF($F$2:$F$26,P14)=0,COUNTIFS($F$2:$F$26,P14,$Q$2:$Q$26,"Aprobada")&gt;0,AND(Resumen!$B$15="La cursada aprobada",COUNTIFS($F$2:$F$26,P14,$Q$2:$Q$26,"Cursada aprobada")&gt;0))),"Sí","No")))</f>
        <v>No</v>
      </c>
      <c r="S14" s="8" t="str">
        <f aca="false">TRIM(IF(NOT(OR(L14="",COUNTIF($F$2:$F$26,L14)=0,COUNTIFS($F$2:$F$26,L14,$Q$2:$Q$26,"Aprobada")&gt;0,AND(Resumen!$B$15="La cursada aprobada",COUNTIFS($F$2:$F$26,L14,$Q$2:$Q$26,"Cursada aprobada")&gt;0))),L14&amp;" ","")&amp;IF(NOT(OR(M14="",COUNTIF($F$2:$F$26,M14)=0,COUNTIFS($F$2:$F$26,M14,$Q$2:$Q$26,"Aprobada")&gt;0,AND(Resumen!$B$15="La cursada aprobada",COUNTIFS($F$2:$F$26,M14,$Q$2:$Q$26,"Cursada aprobada")&gt;0))),M14&amp;" ","")&amp;IF(NOT(OR(N14="",COUNTIF($F$2:$F$26,N14)=0,COUNTIFS($F$2:$F$26,N14,$Q$2:$Q$26,"Aprobada")&gt;0,AND(Resumen!$B$15="La cursada aprobada",COUNTIFS($F$2:$F$26,N14,$Q$2:$Q$26,"Cursada aprobada")&gt;0))),N14&amp;" ","")&amp;IF(NOT(OR(O14="",COUNTIF($F$2:$F$26,O14)=0,COUNTIFS($F$2:$F$26,O14,$Q$2:$Q$26,"Aprobada")&gt;0,AND(Resumen!$B$15="La cursada aprobada",COUNTIFS($F$2:$F$26,O14,$Q$2:$Q$26,"Cursada aprobada")&gt;0))),O14&amp;" ","")&amp;IF(NOT(OR(P14="",COUNTIF($F$2:$F$26,P14)=0,COUNTIFS($F$2:$F$26,P14,$Q$2:$Q$26,"Aprobada")&gt;0,AND(Resumen!$B$15="La cursada aprobada",COUNTIFS($F$2:$F$26,P14,$Q$2:$Q$26,"Cursada aprobada")&gt;0))),P14&amp;" ",""))</f>
        <v>291 292 293</v>
      </c>
      <c r="T14" s="9" t="str">
        <f aca="false">IF(Q14="Cursada aprobada",IF(AND(OR(L14="",COUNTIF($F$2:$F$26,L14)=0,COUNTIFS($F$2:$F$26,L14,$Q$2:$Q$26,"Aprobada")&gt;0),OR(M14="",COUNTIF($F$2:$F$26,M14)=0,COUNTIFS($F$2:$F$26,M14,$Q$2:$Q$26,"Aprobada")&gt;0),OR(N14="",COUNTIF($F$2:$F$26,N14)=0,COUNTIFS($F$2:$F$26,N14,$Q$2:$Q$26,"Aprobada")&gt;0),OR(O14="",COUNTIF($F$2:$F$26,O14)=0,COUNTIFS($F$2:$F$26,O14,$Q$2:$Q$26,"Aprobada")&gt;0),OR(P14="",COUNTIF($F$2:$F$26,P14)=0,COUNTIFS($F$2:$F$26,P14,$Q$2:$Q$26,"Aprobada")&gt;0)),"Sí","No"),"")</f>
        <v/>
      </c>
      <c r="U14" s="9" t="str">
        <f aca="false">IF(Q14="Aprobada",TRIM(IF(NOT(OR(L14="",COUNTIF($F$2:$F$26,L14)=0,COUNTIFS($F$2:$F$26,L14,$Q$2:$Q$26,"Aprobada")&gt;0)),L14&amp;" ","")&amp;IF(NOT(OR(M14="",COUNTIF($F$2:$F$26,M14)=0,COUNTIFS($F$2:$F$26,M14,$Q$2:$Q$26,"Aprobada")&gt;0)),M14&amp;" ","")&amp;IF(NOT(OR(N14="",COUNTIF($F$2:$F$26,N14)=0,COUNTIFS($F$2:$F$26,N14,$Q$2:$Q$26,"Aprobada")&gt;0)),N14&amp;" ","")&amp;IF(NOT(OR(O14="",COUNTIF($F$2:$F$26,O14)=0,COUNTIFS($F$2:$F$26,O14,$Q$2:$Q$26,"Aprobada")&gt;0)),O14&amp;" ","")&amp;IF(NOT(OR(P14="",COUNTIF($F$2:$F$26,P14)=0,COUNTIFS($F$2:$F$26,P14,$Q$2:$Q$26,"Aprobada")&gt;0)),P14&amp;" ","")),IF(Q14="Cursada aprobada",TRIM(IF(NOT(OR(L14="",COUNTIF($F$2:$F$26,L14)=0,COUNTIFS($F$2:$F$26,L14,$Q$2:$Q$26,"Aprobada")&gt;0,AND(Resumen!$B$15="La cursada aprobada",COUNTIFS($F$2:$F$26,L14,$Q$2:$Q$26,"Cursada aprobada")&gt;0))),L14&amp;" ","")&amp;IF(NOT(OR(M14="",COUNTIF($F$2:$F$26,M14)=0,COUNTIFS($F$2:$F$26,M14,$Q$2:$Q$26,"Aprobada")&gt;0,AND(Resumen!$B$15="La cursada aprobada",COUNTIFS($F$2:$F$26,M14,$Q$2:$Q$26,"Cursada aprobada")&gt;0))),M14&amp;" ","")&amp;IF(NOT(OR(N14="",COUNTIF($F$2:$F$26,N14)=0,COUNTIFS($F$2:$F$26,N14,$Q$2:$Q$26,"Aprobada")&gt;0,AND(Resumen!$B$15="La cursada aprobada",COUNTIFS($F$2:$F$26,N14,$Q$2:$Q$26,"Cursada aprobada")&gt;0))),N14&amp;" ","")&amp;IF(NOT(OR(O14="",COUNTIF($F$2:$F$26,O14)=0,COUNTIFS($F$2:$F$26,O14,$Q$2:$Q$26,"Aprobada")&gt;0,AND(Resumen!$B$15="La cursada aprobada",COUNTIFS($F$2:$F$26,O14,$Q$2:$Q$26,"Cursada aprobada")&gt;0))),O14&amp;" ","")&amp;IF(NOT(OR(P14="",COUNTIF($F$2:$F$26,P14)=0,COUNTIFS($F$2:$F$26,P14,$Q$2:$Q$26,"Aprobada")&gt;0,AND(Resumen!$B$15="La cursada aprobada",COUNTIFS($F$2:$F$26,P14,$Q$2:$Q$26,"Cursada aprobada")&gt;0))),P14&amp;" ","")),""))</f>
        <v/>
      </c>
    </row>
    <row r="15" customFormat="false" ht="15" hidden="false" customHeight="false" outlineLevel="0" collapsed="false">
      <c r="A15" s="8" t="s">
        <v>240</v>
      </c>
      <c r="B15" s="8"/>
      <c r="C15" s="9" t="n">
        <v>2</v>
      </c>
      <c r="D15" s="9" t="n">
        <v>2</v>
      </c>
      <c r="E15" s="9" t="s">
        <v>65</v>
      </c>
      <c r="F15" s="9" t="n">
        <v>251</v>
      </c>
      <c r="G15" s="8" t="s">
        <v>181</v>
      </c>
      <c r="H15" s="9" t="s">
        <v>61</v>
      </c>
      <c r="I15" s="9" t="n">
        <v>6</v>
      </c>
      <c r="J15" s="9"/>
      <c r="K15" s="9" t="n">
        <v>96</v>
      </c>
      <c r="L15" s="9" t="n">
        <v>114</v>
      </c>
      <c r="M15" s="9"/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cursada",IF(AND(OR(L15="",COUNTIF($F$2:$F$26,L15)=0,COUNTIFS($F$2:$F$26,L15,$Q$2:$Q$26,"Aprobada")&gt;0,AND(Resumen!$B$15="La cursada aprobada",COUNTIFS($F$2:$F$26,L15,$Q$2:$Q$26,"Cursada aprobada")&gt;0)),OR(M15="",COUNTIF($F$2:$F$26,M15)=0,COUNTIFS($F$2:$F$26,M15,$Q$2:$Q$26,"Aprobada")&gt;0,AND(Resumen!$B$15="La cursada aprobada",COUNTIFS($F$2:$F$26,M15,$Q$2:$Q$26,"Cursada aprobada")&gt;0)),OR(N15="",COUNTIF($F$2:$F$26,N15)=0,COUNTIFS($F$2:$F$26,N15,$Q$2:$Q$26,"Aprobada")&gt;0,AND(Resumen!$B$15="La cursada aprobada",COUNTIFS($F$2:$F$26,N15,$Q$2:$Q$26,"Cursada aprobada")&gt;0)),OR(O15="",COUNTIF($F$2:$F$26,O15)=0,COUNTIFS($F$2:$F$26,O15,$Q$2:$Q$26,"Aprobada")&gt;0,AND(Resumen!$B$15="La cursada aprobada",COUNTIFS($F$2:$F$26,O15,$Q$2:$Q$26,"Cursada aprobada")&gt;0)),OR(P15="",COUNTIF($F$2:$F$26,P15)=0,COUNTIFS($F$2:$F$26,P15,$Q$2:$Q$26,"Aprobada")&gt;0,AND(Resumen!$B$15="La cursada aprobada",COUNTIFS($F$2:$F$26,P15,$Q$2:$Q$26,"Cursada aprobada")&gt;0))),"Sí","No")))</f>
        <v>No</v>
      </c>
      <c r="S15" s="8" t="str">
        <f aca="false">TRIM(IF(NOT(OR(L15="",COUNTIF($F$2:$F$26,L15)=0,COUNTIFS($F$2:$F$26,L15,$Q$2:$Q$26,"Aprobada")&gt;0,AND(Resumen!$B$15="La cursada aprobada",COUNTIFS($F$2:$F$26,L15,$Q$2:$Q$26,"Cursada aprobada")&gt;0))),L15&amp;" ","")&amp;IF(NOT(OR(M15="",COUNTIF($F$2:$F$26,M15)=0,COUNTIFS($F$2:$F$26,M15,$Q$2:$Q$26,"Aprobada")&gt;0,AND(Resumen!$B$15="La cursada aprobada",COUNTIFS($F$2:$F$26,M15,$Q$2:$Q$26,"Cursada aprobada")&gt;0))),M15&amp;" ","")&amp;IF(NOT(OR(N15="",COUNTIF($F$2:$F$26,N15)=0,COUNTIFS($F$2:$F$26,N15,$Q$2:$Q$26,"Aprobada")&gt;0,AND(Resumen!$B$15="La cursada aprobada",COUNTIFS($F$2:$F$26,N15,$Q$2:$Q$26,"Cursada aprobada")&gt;0))),N15&amp;" ","")&amp;IF(NOT(OR(O15="",COUNTIF($F$2:$F$26,O15)=0,COUNTIFS($F$2:$F$26,O15,$Q$2:$Q$26,"Aprobada")&gt;0,AND(Resumen!$B$15="La cursada aprobada",COUNTIFS($F$2:$F$26,O15,$Q$2:$Q$26,"Cursada aprobada")&gt;0))),O15&amp;" ","")&amp;IF(NOT(OR(P15="",COUNTIF($F$2:$F$26,P15)=0,COUNTIFS($F$2:$F$26,P15,$Q$2:$Q$26,"Aprobada")&gt;0,AND(Resumen!$B$15="La cursada aprobada",COUNTIFS($F$2:$F$26,P15,$Q$2:$Q$26,"Cursada aprobada")&gt;0))),P15&amp;" ",""))</f>
        <v>114</v>
      </c>
      <c r="T15" s="9" t="str">
        <f aca="false">IF(Q15="Cursada aprobada",IF(AND(OR(L15="",COUNTIF($F$2:$F$26,L15)=0,COUNTIFS($F$2:$F$26,L15,$Q$2:$Q$26,"Aprobada")&gt;0),OR(M15="",COUNTIF($F$2:$F$26,M15)=0,COUNTIFS($F$2:$F$26,M15,$Q$2:$Q$26,"Aprobada")&gt;0),OR(N15="",COUNTIF($F$2:$F$26,N15)=0,COUNTIFS($F$2:$F$26,N15,$Q$2:$Q$26,"Aprobada")&gt;0),OR(O15="",COUNTIF($F$2:$F$26,O15)=0,COUNTIFS($F$2:$F$26,O15,$Q$2:$Q$26,"Aprobada")&gt;0),OR(P15="",COUNTIF($F$2:$F$26,P15)=0,COUNTIFS($F$2:$F$26,P15,$Q$2:$Q$26,"Aprobada")&gt;0)),"Sí","No"),"")</f>
        <v/>
      </c>
      <c r="U15" s="9" t="str">
        <f aca="false">IF(Q15="Aprobada",TRIM(IF(NOT(OR(L15="",COUNTIF($F$2:$F$26,L15)=0,COUNTIFS($F$2:$F$26,L15,$Q$2:$Q$26,"Aprobada")&gt;0)),L15&amp;" ","")&amp;IF(NOT(OR(M15="",COUNTIF($F$2:$F$26,M15)=0,COUNTIFS($F$2:$F$26,M15,$Q$2:$Q$26,"Aprobada")&gt;0)),M15&amp;" ","")&amp;IF(NOT(OR(N15="",COUNTIF($F$2:$F$26,N15)=0,COUNTIFS($F$2:$F$26,N15,$Q$2:$Q$26,"Aprobada")&gt;0)),N15&amp;" ","")&amp;IF(NOT(OR(O15="",COUNTIF($F$2:$F$26,O15)=0,COUNTIFS($F$2:$F$26,O15,$Q$2:$Q$26,"Aprobada")&gt;0)),O15&amp;" ","")&amp;IF(NOT(OR(P15="",COUNTIF($F$2:$F$26,P15)=0,COUNTIFS($F$2:$F$26,P15,$Q$2:$Q$26,"Aprobada")&gt;0)),P15&amp;" ","")),IF(Q15="Cursada aprobada",TRIM(IF(NOT(OR(L15="",COUNTIF($F$2:$F$26,L15)=0,COUNTIFS($F$2:$F$26,L15,$Q$2:$Q$26,"Aprobada")&gt;0,AND(Resumen!$B$15="La cursada aprobada",COUNTIFS($F$2:$F$26,L15,$Q$2:$Q$26,"Cursada aprobada")&gt;0))),L15&amp;" ","")&amp;IF(NOT(OR(M15="",COUNTIF($F$2:$F$26,M15)=0,COUNTIFS($F$2:$F$26,M15,$Q$2:$Q$26,"Aprobada")&gt;0,AND(Resumen!$B$15="La cursada aprobada",COUNTIFS($F$2:$F$26,M15,$Q$2:$Q$26,"Cursada aprobada")&gt;0))),M15&amp;" ","")&amp;IF(NOT(OR(N15="",COUNTIF($F$2:$F$26,N15)=0,COUNTIFS($F$2:$F$26,N15,$Q$2:$Q$26,"Aprobada")&gt;0,AND(Resumen!$B$15="La cursada aprobada",COUNTIFS($F$2:$F$26,N15,$Q$2:$Q$26,"Cursada aprobada")&gt;0))),N15&amp;" ","")&amp;IF(NOT(OR(O15="",COUNTIF($F$2:$F$26,O15)=0,COUNTIFS($F$2:$F$26,O15,$Q$2:$Q$26,"Aprobada")&gt;0,AND(Resumen!$B$15="La cursada aprobada",COUNTIFS($F$2:$F$26,O15,$Q$2:$Q$26,"Cursada aprobada")&gt;0))),O15&amp;" ","")&amp;IF(NOT(OR(P15="",COUNTIF($F$2:$F$26,P15)=0,COUNTIFS($F$2:$F$26,P15,$Q$2:$Q$26,"Aprobada")&gt;0,AND(Resumen!$B$15="La cursada aprobada",COUNTIFS($F$2:$F$26,P15,$Q$2:$Q$26,"Cursada aprobada")&gt;0))),P15&amp;" ","")),""))</f>
        <v/>
      </c>
    </row>
    <row r="16" customFormat="false" ht="15" hidden="false" customHeight="false" outlineLevel="0" collapsed="false">
      <c r="A16" s="8" t="s">
        <v>240</v>
      </c>
      <c r="B16" s="8"/>
      <c r="C16" s="9" t="n">
        <v>2</v>
      </c>
      <c r="D16" s="9" t="n">
        <v>2</v>
      </c>
      <c r="E16" s="9" t="s">
        <v>63</v>
      </c>
      <c r="F16" s="9" t="n">
        <v>1083</v>
      </c>
      <c r="G16" s="8" t="s">
        <v>262</v>
      </c>
      <c r="H16" s="9" t="s">
        <v>61</v>
      </c>
      <c r="I16" s="9" t="n">
        <v>4</v>
      </c>
      <c r="J16" s="9"/>
      <c r="K16" s="9" t="n">
        <v>64</v>
      </c>
      <c r="L16" s="9" t="n">
        <v>1082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cursada",IF(AND(OR(L16="",COUNTIF($F$2:$F$26,L16)=0,COUNTIFS($F$2:$F$26,L16,$Q$2:$Q$26,"Aprobada")&gt;0,AND(Resumen!$B$15="La cursada aprobada",COUNTIFS($F$2:$F$26,L16,$Q$2:$Q$26,"Cursada aprobada")&gt;0)),OR(M16="",COUNTIF($F$2:$F$26,M16)=0,COUNTIFS($F$2:$F$26,M16,$Q$2:$Q$26,"Aprobada")&gt;0,AND(Resumen!$B$15="La cursada aprobada",COUNTIFS($F$2:$F$26,M16,$Q$2:$Q$26,"Cursada aprobada")&gt;0)),OR(N16="",COUNTIF($F$2:$F$26,N16)=0,COUNTIFS($F$2:$F$26,N16,$Q$2:$Q$26,"Aprobada")&gt;0,AND(Resumen!$B$15="La cursada aprobada",COUNTIFS($F$2:$F$26,N16,$Q$2:$Q$26,"Cursada aprobada")&gt;0)),OR(O16="",COUNTIF($F$2:$F$26,O16)=0,COUNTIFS($F$2:$F$26,O16,$Q$2:$Q$26,"Aprobada")&gt;0,AND(Resumen!$B$15="La cursada aprobada",COUNTIFS($F$2:$F$26,O16,$Q$2:$Q$26,"Cursada aprobada")&gt;0)),OR(P16="",COUNTIF($F$2:$F$26,P16)=0,COUNTIFS($F$2:$F$26,P16,$Q$2:$Q$26,"Aprobada")&gt;0,AND(Resumen!$B$15="La cursada aprobada",COUNTIFS($F$2:$F$26,P16,$Q$2:$Q$26,"Cursada aprobada")&gt;0))),"Sí","No")))</f>
        <v>No</v>
      </c>
      <c r="S16" s="8" t="str">
        <f aca="false">TRIM(IF(NOT(OR(L16="",COUNTIF($F$2:$F$26,L16)=0,COUNTIFS($F$2:$F$26,L16,$Q$2:$Q$26,"Aprobada")&gt;0,AND(Resumen!$B$15="La cursada aprobada",COUNTIFS($F$2:$F$26,L16,$Q$2:$Q$26,"Cursada aprobada")&gt;0))),L16&amp;" ","")&amp;IF(NOT(OR(M16="",COUNTIF($F$2:$F$26,M16)=0,COUNTIFS($F$2:$F$26,M16,$Q$2:$Q$26,"Aprobada")&gt;0,AND(Resumen!$B$15="La cursada aprobada",COUNTIFS($F$2:$F$26,M16,$Q$2:$Q$26,"Cursada aprobada")&gt;0))),M16&amp;" ","")&amp;IF(NOT(OR(N16="",COUNTIF($F$2:$F$26,N16)=0,COUNTIFS($F$2:$F$26,N16,$Q$2:$Q$26,"Aprobada")&gt;0,AND(Resumen!$B$15="La cursada aprobada",COUNTIFS($F$2:$F$26,N16,$Q$2:$Q$26,"Cursada aprobada")&gt;0))),N16&amp;" ","")&amp;IF(NOT(OR(O16="",COUNTIF($F$2:$F$26,O16)=0,COUNTIFS($F$2:$F$26,O16,$Q$2:$Q$26,"Aprobada")&gt;0,AND(Resumen!$B$15="La cursada aprobada",COUNTIFS($F$2:$F$26,O16,$Q$2:$Q$26,"Cursada aprobada")&gt;0))),O16&amp;" ","")&amp;IF(NOT(OR(P16="",COUNTIF($F$2:$F$26,P16)=0,COUNTIFS($F$2:$F$26,P16,$Q$2:$Q$26,"Aprobada")&gt;0,AND(Resumen!$B$15="La cursada aprobada",COUNTIFS($F$2:$F$26,P16,$Q$2:$Q$26,"Cursada aprobada")&gt;0))),P16&amp;" ",""))</f>
        <v>1082</v>
      </c>
      <c r="T16" s="9" t="str">
        <f aca="false">IF(Q16="Cursada aprobada",IF(AND(OR(L16="",COUNTIF($F$2:$F$26,L16)=0,COUNTIFS($F$2:$F$26,L16,$Q$2:$Q$26,"Aprobada")&gt;0),OR(M16="",COUNTIF($F$2:$F$26,M16)=0,COUNTIFS($F$2:$F$26,M16,$Q$2:$Q$26,"Aprobada")&gt;0),OR(N16="",COUNTIF($F$2:$F$26,N16)=0,COUNTIFS($F$2:$F$26,N16,$Q$2:$Q$26,"Aprobada")&gt;0),OR(O16="",COUNTIF($F$2:$F$26,O16)=0,COUNTIFS($F$2:$F$26,O16,$Q$2:$Q$26,"Aprobada")&gt;0),OR(P16="",COUNTIF($F$2:$F$26,P16)=0,COUNTIFS($F$2:$F$26,P16,$Q$2:$Q$26,"Aprobada")&gt;0)),"Sí","No"),"")</f>
        <v/>
      </c>
      <c r="U16" s="9" t="str">
        <f aca="false">IF(Q16="Aprobada",TRIM(IF(NOT(OR(L16="",COUNTIF($F$2:$F$26,L16)=0,COUNTIFS($F$2:$F$26,L16,$Q$2:$Q$26,"Aprobada")&gt;0)),L16&amp;" ","")&amp;IF(NOT(OR(M16="",COUNTIF($F$2:$F$26,M16)=0,COUNTIFS($F$2:$F$26,M16,$Q$2:$Q$26,"Aprobada")&gt;0)),M16&amp;" ","")&amp;IF(NOT(OR(N16="",COUNTIF($F$2:$F$26,N16)=0,COUNTIFS($F$2:$F$26,N16,$Q$2:$Q$26,"Aprobada")&gt;0)),N16&amp;" ","")&amp;IF(NOT(OR(O16="",COUNTIF($F$2:$F$26,O16)=0,COUNTIFS($F$2:$F$26,O16,$Q$2:$Q$26,"Aprobada")&gt;0)),O16&amp;" ","")&amp;IF(NOT(OR(P16="",COUNTIF($F$2:$F$26,P16)=0,COUNTIFS($F$2:$F$26,P16,$Q$2:$Q$26,"Aprobada")&gt;0)),P16&amp;" ","")),IF(Q16="Cursada aprobada",TRIM(IF(NOT(OR(L16="",COUNTIF($F$2:$F$26,L16)=0,COUNTIFS($F$2:$F$26,L16,$Q$2:$Q$26,"Aprobada")&gt;0,AND(Resumen!$B$15="La cursada aprobada",COUNTIFS($F$2:$F$26,L16,$Q$2:$Q$26,"Cursada aprobada")&gt;0))),L16&amp;" ","")&amp;IF(NOT(OR(M16="",COUNTIF($F$2:$F$26,M16)=0,COUNTIFS($F$2:$F$26,M16,$Q$2:$Q$26,"Aprobada")&gt;0,AND(Resumen!$B$15="La cursada aprobada",COUNTIFS($F$2:$F$26,M16,$Q$2:$Q$26,"Cursada aprobada")&gt;0))),M16&amp;" ","")&amp;IF(NOT(OR(N16="",COUNTIF($F$2:$F$26,N16)=0,COUNTIFS($F$2:$F$26,N16,$Q$2:$Q$26,"Aprobada")&gt;0,AND(Resumen!$B$15="La cursada aprobada",COUNTIFS($F$2:$F$26,N16,$Q$2:$Q$26,"Cursada aprobada")&gt;0))),N16&amp;" ","")&amp;IF(NOT(OR(O16="",COUNTIF($F$2:$F$26,O16)=0,COUNTIFS($F$2:$F$26,O16,$Q$2:$Q$26,"Aprobada")&gt;0,AND(Resumen!$B$15="La cursada aprobada",COUNTIFS($F$2:$F$26,O16,$Q$2:$Q$26,"Cursada aprobada")&gt;0))),O16&amp;" ","")&amp;IF(NOT(OR(P16="",COUNTIF($F$2:$F$26,P16)=0,COUNTIFS($F$2:$F$26,P16,$Q$2:$Q$26,"Aprobada")&gt;0,AND(Resumen!$B$15="La cursada aprobada",COUNTIFS($F$2:$F$26,P16,$Q$2:$Q$26,"Cursada aprobada")&gt;0))),P16&amp;" ","")),""))</f>
        <v/>
      </c>
    </row>
    <row r="17" customFormat="false" ht="15" hidden="false" customHeight="false" outlineLevel="0" collapsed="false">
      <c r="A17" s="8" t="s">
        <v>240</v>
      </c>
      <c r="B17" s="8"/>
      <c r="C17" s="9" t="n">
        <v>3</v>
      </c>
      <c r="D17" s="9" t="n">
        <v>1</v>
      </c>
      <c r="E17" s="9" t="s">
        <v>63</v>
      </c>
      <c r="F17" s="9" t="n">
        <v>1087</v>
      </c>
      <c r="G17" s="8" t="s">
        <v>263</v>
      </c>
      <c r="H17" s="9" t="s">
        <v>61</v>
      </c>
      <c r="I17" s="9" t="n">
        <v>4</v>
      </c>
      <c r="J17" s="9"/>
      <c r="K17" s="9" t="n">
        <v>64</v>
      </c>
      <c r="L17" s="9" t="n">
        <v>101</v>
      </c>
      <c r="M17" s="9" t="n">
        <v>1082</v>
      </c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cursada",IF(AND(OR(L17="",COUNTIF($F$2:$F$26,L17)=0,COUNTIFS($F$2:$F$26,L17,$Q$2:$Q$26,"Aprobada")&gt;0,AND(Resumen!$B$15="La cursada aprobada",COUNTIFS($F$2:$F$26,L17,$Q$2:$Q$26,"Cursada aprobada")&gt;0)),OR(M17="",COUNTIF($F$2:$F$26,M17)=0,COUNTIFS($F$2:$F$26,M17,$Q$2:$Q$26,"Aprobada")&gt;0,AND(Resumen!$B$15="La cursada aprobada",COUNTIFS($F$2:$F$26,M17,$Q$2:$Q$26,"Cursada aprobada")&gt;0)),OR(N17="",COUNTIF($F$2:$F$26,N17)=0,COUNTIFS($F$2:$F$26,N17,$Q$2:$Q$26,"Aprobada")&gt;0,AND(Resumen!$B$15="La cursada aprobada",COUNTIFS($F$2:$F$26,N17,$Q$2:$Q$26,"Cursada aprobada")&gt;0)),OR(O17="",COUNTIF($F$2:$F$26,O17)=0,COUNTIFS($F$2:$F$26,O17,$Q$2:$Q$26,"Aprobada")&gt;0,AND(Resumen!$B$15="La cursada aprobada",COUNTIFS($F$2:$F$26,O17,$Q$2:$Q$26,"Cursada aprobada")&gt;0)),OR(P17="",COUNTIF($F$2:$F$26,P17)=0,COUNTIFS($F$2:$F$26,P17,$Q$2:$Q$26,"Aprobada")&gt;0,AND(Resumen!$B$15="La cursada aprobada",COUNTIFS($F$2:$F$26,P17,$Q$2:$Q$26,"Cursada aprobada")&gt;0))),"Sí","No")))</f>
        <v>No</v>
      </c>
      <c r="S17" s="8" t="str">
        <f aca="false">TRIM(IF(NOT(OR(L17="",COUNTIF($F$2:$F$26,L17)=0,COUNTIFS($F$2:$F$26,L17,$Q$2:$Q$26,"Aprobada")&gt;0,AND(Resumen!$B$15="La cursada aprobada",COUNTIFS($F$2:$F$26,L17,$Q$2:$Q$26,"Cursada aprobada")&gt;0))),L17&amp;" ","")&amp;IF(NOT(OR(M17="",COUNTIF($F$2:$F$26,M17)=0,COUNTIFS($F$2:$F$26,M17,$Q$2:$Q$26,"Aprobada")&gt;0,AND(Resumen!$B$15="La cursada aprobada",COUNTIFS($F$2:$F$26,M17,$Q$2:$Q$26,"Cursada aprobada")&gt;0))),M17&amp;" ","")&amp;IF(NOT(OR(N17="",COUNTIF($F$2:$F$26,N17)=0,COUNTIFS($F$2:$F$26,N17,$Q$2:$Q$26,"Aprobada")&gt;0,AND(Resumen!$B$15="La cursada aprobada",COUNTIFS($F$2:$F$26,N17,$Q$2:$Q$26,"Cursada aprobada")&gt;0))),N17&amp;" ","")&amp;IF(NOT(OR(O17="",COUNTIF($F$2:$F$26,O17)=0,COUNTIFS($F$2:$F$26,O17,$Q$2:$Q$26,"Aprobada")&gt;0,AND(Resumen!$B$15="La cursada aprobada",COUNTIFS($F$2:$F$26,O17,$Q$2:$Q$26,"Cursada aprobada")&gt;0))),O17&amp;" ","")&amp;IF(NOT(OR(P17="",COUNTIF($F$2:$F$26,P17)=0,COUNTIFS($F$2:$F$26,P17,$Q$2:$Q$26,"Aprobada")&gt;0,AND(Resumen!$B$15="La cursada aprobada",COUNTIFS($F$2:$F$26,P17,$Q$2:$Q$26,"Cursada aprobada")&gt;0))),P17&amp;" ",""))</f>
        <v>101 1082</v>
      </c>
      <c r="T17" s="9" t="str">
        <f aca="false">IF(Q17="Cursada aprobada",IF(AND(OR(L17="",COUNTIF($F$2:$F$26,L17)=0,COUNTIFS($F$2:$F$26,L17,$Q$2:$Q$26,"Aprobada")&gt;0),OR(M17="",COUNTIF($F$2:$F$26,M17)=0,COUNTIFS($F$2:$F$26,M17,$Q$2:$Q$26,"Aprobada")&gt;0),OR(N17="",COUNTIF($F$2:$F$26,N17)=0,COUNTIFS($F$2:$F$26,N17,$Q$2:$Q$26,"Aprobada")&gt;0),OR(O17="",COUNTIF($F$2:$F$26,O17)=0,COUNTIFS($F$2:$F$26,O17,$Q$2:$Q$26,"Aprobada")&gt;0),OR(P17="",COUNTIF($F$2:$F$26,P17)=0,COUNTIFS($F$2:$F$26,P17,$Q$2:$Q$26,"Aprobada")&gt;0)),"Sí","No"),"")</f>
        <v/>
      </c>
      <c r="U17" s="9" t="str">
        <f aca="false">IF(Q17="Aprobada",TRIM(IF(NOT(OR(L17="",COUNTIF($F$2:$F$26,L17)=0,COUNTIFS($F$2:$F$26,L17,$Q$2:$Q$26,"Aprobada")&gt;0)),L17&amp;" ","")&amp;IF(NOT(OR(M17="",COUNTIF($F$2:$F$26,M17)=0,COUNTIFS($F$2:$F$26,M17,$Q$2:$Q$26,"Aprobada")&gt;0)),M17&amp;" ","")&amp;IF(NOT(OR(N17="",COUNTIF($F$2:$F$26,N17)=0,COUNTIFS($F$2:$F$26,N17,$Q$2:$Q$26,"Aprobada")&gt;0)),N17&amp;" ","")&amp;IF(NOT(OR(O17="",COUNTIF($F$2:$F$26,O17)=0,COUNTIFS($F$2:$F$26,O17,$Q$2:$Q$26,"Aprobada")&gt;0)),O17&amp;" ","")&amp;IF(NOT(OR(P17="",COUNTIF($F$2:$F$26,P17)=0,COUNTIFS($F$2:$F$26,P17,$Q$2:$Q$26,"Aprobada")&gt;0)),P17&amp;" ","")),IF(Q17="Cursada aprobada",TRIM(IF(NOT(OR(L17="",COUNTIF($F$2:$F$26,L17)=0,COUNTIFS($F$2:$F$26,L17,$Q$2:$Q$26,"Aprobada")&gt;0,AND(Resumen!$B$15="La cursada aprobada",COUNTIFS($F$2:$F$26,L17,$Q$2:$Q$26,"Cursada aprobada")&gt;0))),L17&amp;" ","")&amp;IF(NOT(OR(M17="",COUNTIF($F$2:$F$26,M17)=0,COUNTIFS($F$2:$F$26,M17,$Q$2:$Q$26,"Aprobada")&gt;0,AND(Resumen!$B$15="La cursada aprobada",COUNTIFS($F$2:$F$26,M17,$Q$2:$Q$26,"Cursada aprobada")&gt;0))),M17&amp;" ","")&amp;IF(NOT(OR(N17="",COUNTIF($F$2:$F$26,N17)=0,COUNTIFS($F$2:$F$26,N17,$Q$2:$Q$26,"Aprobada")&gt;0,AND(Resumen!$B$15="La cursada aprobada",COUNTIFS($F$2:$F$26,N17,$Q$2:$Q$26,"Cursada aprobada")&gt;0))),N17&amp;" ","")&amp;IF(NOT(OR(O17="",COUNTIF($F$2:$F$26,O17)=0,COUNTIFS($F$2:$F$26,O17,$Q$2:$Q$26,"Aprobada")&gt;0,AND(Resumen!$B$15="La cursada aprobada",COUNTIFS($F$2:$F$26,O17,$Q$2:$Q$26,"Cursada aprobada")&gt;0))),O17&amp;" ","")&amp;IF(NOT(OR(P17="",COUNTIF($F$2:$F$26,P17)=0,COUNTIFS($F$2:$F$26,P17,$Q$2:$Q$26,"Aprobada")&gt;0,AND(Resumen!$B$15="La cursada aprobada",COUNTIFS($F$2:$F$26,P17,$Q$2:$Q$26,"Cursada aprobada")&gt;0))),P17&amp;" ","")),""))</f>
        <v/>
      </c>
    </row>
    <row r="18" customFormat="false" ht="15" hidden="false" customHeight="false" outlineLevel="0" collapsed="false">
      <c r="A18" s="8" t="s">
        <v>240</v>
      </c>
      <c r="B18" s="8"/>
      <c r="C18" s="9" t="n">
        <v>3</v>
      </c>
      <c r="D18" s="9" t="n">
        <v>1</v>
      </c>
      <c r="E18" s="9" t="s">
        <v>63</v>
      </c>
      <c r="F18" s="9" t="n">
        <v>380</v>
      </c>
      <c r="G18" s="8" t="s">
        <v>128</v>
      </c>
      <c r="H18" s="9" t="s">
        <v>61</v>
      </c>
      <c r="I18" s="9" t="n">
        <v>4</v>
      </c>
      <c r="J18" s="9"/>
      <c r="K18" s="9" t="n">
        <v>64</v>
      </c>
      <c r="L18" s="9" t="n">
        <v>104</v>
      </c>
      <c r="M18" s="9" t="n">
        <v>1081</v>
      </c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cursada",IF(AND(OR(L18="",COUNTIF($F$2:$F$26,L18)=0,COUNTIFS($F$2:$F$26,L18,$Q$2:$Q$26,"Aprobada")&gt;0,AND(Resumen!$B$15="La cursada aprobada",COUNTIFS($F$2:$F$26,L18,$Q$2:$Q$26,"Cursada aprobada")&gt;0)),OR(M18="",COUNTIF($F$2:$F$26,M18)=0,COUNTIFS($F$2:$F$26,M18,$Q$2:$Q$26,"Aprobada")&gt;0,AND(Resumen!$B$15="La cursada aprobada",COUNTIFS($F$2:$F$26,M18,$Q$2:$Q$26,"Cursada aprobada")&gt;0)),OR(N18="",COUNTIF($F$2:$F$26,N18)=0,COUNTIFS($F$2:$F$26,N18,$Q$2:$Q$26,"Aprobada")&gt;0,AND(Resumen!$B$15="La cursada aprobada",COUNTIFS($F$2:$F$26,N18,$Q$2:$Q$26,"Cursada aprobada")&gt;0)),OR(O18="",COUNTIF($F$2:$F$26,O18)=0,COUNTIFS($F$2:$F$26,O18,$Q$2:$Q$26,"Aprobada")&gt;0,AND(Resumen!$B$15="La cursada aprobada",COUNTIFS($F$2:$F$26,O18,$Q$2:$Q$26,"Cursada aprobada")&gt;0)),OR(P18="",COUNTIF($F$2:$F$26,P18)=0,COUNTIFS($F$2:$F$26,P18,$Q$2:$Q$26,"Aprobada")&gt;0,AND(Resumen!$B$15="La cursada aprobada",COUNTIFS($F$2:$F$26,P18,$Q$2:$Q$26,"Cursada aprobada")&gt;0))),"Sí","No")))</f>
        <v>No</v>
      </c>
      <c r="S18" s="8" t="str">
        <f aca="false">TRIM(IF(NOT(OR(L18="",COUNTIF($F$2:$F$26,L18)=0,COUNTIFS($F$2:$F$26,L18,$Q$2:$Q$26,"Aprobada")&gt;0,AND(Resumen!$B$15="La cursada aprobada",COUNTIFS($F$2:$F$26,L18,$Q$2:$Q$26,"Cursada aprobada")&gt;0))),L18&amp;" ","")&amp;IF(NOT(OR(M18="",COUNTIF($F$2:$F$26,M18)=0,COUNTIFS($F$2:$F$26,M18,$Q$2:$Q$26,"Aprobada")&gt;0,AND(Resumen!$B$15="La cursada aprobada",COUNTIFS($F$2:$F$26,M18,$Q$2:$Q$26,"Cursada aprobada")&gt;0))),M18&amp;" ","")&amp;IF(NOT(OR(N18="",COUNTIF($F$2:$F$26,N18)=0,COUNTIFS($F$2:$F$26,N18,$Q$2:$Q$26,"Aprobada")&gt;0,AND(Resumen!$B$15="La cursada aprobada",COUNTIFS($F$2:$F$26,N18,$Q$2:$Q$26,"Cursada aprobada")&gt;0))),N18&amp;" ","")&amp;IF(NOT(OR(O18="",COUNTIF($F$2:$F$26,O18)=0,COUNTIFS($F$2:$F$26,O18,$Q$2:$Q$26,"Aprobada")&gt;0,AND(Resumen!$B$15="La cursada aprobada",COUNTIFS($F$2:$F$26,O18,$Q$2:$Q$26,"Cursada aprobada")&gt;0))),O18&amp;" ","")&amp;IF(NOT(OR(P18="",COUNTIF($F$2:$F$26,P18)=0,COUNTIFS($F$2:$F$26,P18,$Q$2:$Q$26,"Aprobada")&gt;0,AND(Resumen!$B$15="La cursada aprobada",COUNTIFS($F$2:$F$26,P18,$Q$2:$Q$26,"Cursada aprobada")&gt;0))),P18&amp;" ",""))</f>
        <v>104 1081</v>
      </c>
      <c r="T18" s="9" t="str">
        <f aca="false">IF(Q18="Cursada aprobada",IF(AND(OR(L18="",COUNTIF($F$2:$F$26,L18)=0,COUNTIFS($F$2:$F$26,L18,$Q$2:$Q$26,"Aprobada")&gt;0),OR(M18="",COUNTIF($F$2:$F$26,M18)=0,COUNTIFS($F$2:$F$26,M18,$Q$2:$Q$26,"Aprobada")&gt;0),OR(N18="",COUNTIF($F$2:$F$26,N18)=0,COUNTIFS($F$2:$F$26,N18,$Q$2:$Q$26,"Aprobada")&gt;0),OR(O18="",COUNTIF($F$2:$F$26,O18)=0,COUNTIFS($F$2:$F$26,O18,$Q$2:$Q$26,"Aprobada")&gt;0),OR(P18="",COUNTIF($F$2:$F$26,P18)=0,COUNTIFS($F$2:$F$26,P18,$Q$2:$Q$26,"Aprobada")&gt;0)),"Sí","No"),"")</f>
        <v/>
      </c>
      <c r="U18" s="9" t="str">
        <f aca="false">IF(Q18="Aprobada",TRIM(IF(NOT(OR(L18="",COUNTIF($F$2:$F$26,L18)=0,COUNTIFS($F$2:$F$26,L18,$Q$2:$Q$26,"Aprobada")&gt;0)),L18&amp;" ","")&amp;IF(NOT(OR(M18="",COUNTIF($F$2:$F$26,M18)=0,COUNTIFS($F$2:$F$26,M18,$Q$2:$Q$26,"Aprobada")&gt;0)),M18&amp;" ","")&amp;IF(NOT(OR(N18="",COUNTIF($F$2:$F$26,N18)=0,COUNTIFS($F$2:$F$26,N18,$Q$2:$Q$26,"Aprobada")&gt;0)),N18&amp;" ","")&amp;IF(NOT(OR(O18="",COUNTIF($F$2:$F$26,O18)=0,COUNTIFS($F$2:$F$26,O18,$Q$2:$Q$26,"Aprobada")&gt;0)),O18&amp;" ","")&amp;IF(NOT(OR(P18="",COUNTIF($F$2:$F$26,P18)=0,COUNTIFS($F$2:$F$26,P18,$Q$2:$Q$26,"Aprobada")&gt;0)),P18&amp;" ","")),IF(Q18="Cursada aprobada",TRIM(IF(NOT(OR(L18="",COUNTIF($F$2:$F$26,L18)=0,COUNTIFS($F$2:$F$26,L18,$Q$2:$Q$26,"Aprobada")&gt;0,AND(Resumen!$B$15="La cursada aprobada",COUNTIFS($F$2:$F$26,L18,$Q$2:$Q$26,"Cursada aprobada")&gt;0))),L18&amp;" ","")&amp;IF(NOT(OR(M18="",COUNTIF($F$2:$F$26,M18)=0,COUNTIFS($F$2:$F$26,M18,$Q$2:$Q$26,"Aprobada")&gt;0,AND(Resumen!$B$15="La cursada aprobada",COUNTIFS($F$2:$F$26,M18,$Q$2:$Q$26,"Cursada aprobada")&gt;0))),M18&amp;" ","")&amp;IF(NOT(OR(N18="",COUNTIF($F$2:$F$26,N18)=0,COUNTIFS($F$2:$F$26,N18,$Q$2:$Q$26,"Aprobada")&gt;0,AND(Resumen!$B$15="La cursada aprobada",COUNTIFS($F$2:$F$26,N18,$Q$2:$Q$26,"Cursada aprobada")&gt;0))),N18&amp;" ","")&amp;IF(NOT(OR(O18="",COUNTIF($F$2:$F$26,O18)=0,COUNTIFS($F$2:$F$26,O18,$Q$2:$Q$26,"Aprobada")&gt;0,AND(Resumen!$B$15="La cursada aprobada",COUNTIFS($F$2:$F$26,O18,$Q$2:$Q$26,"Cursada aprobada")&gt;0))),O18&amp;" ","")&amp;IF(NOT(OR(P18="",COUNTIF($F$2:$F$26,P18)=0,COUNTIFS($F$2:$F$26,P18,$Q$2:$Q$26,"Aprobada")&gt;0,AND(Resumen!$B$15="La cursada aprobada",COUNTIFS($F$2:$F$26,P18,$Q$2:$Q$26,"Cursada aprobada")&gt;0))),P18&amp;" ","")),""))</f>
        <v/>
      </c>
    </row>
    <row r="19" customFormat="false" ht="15" hidden="false" customHeight="false" outlineLevel="0" collapsed="false">
      <c r="A19" s="8" t="s">
        <v>240</v>
      </c>
      <c r="B19" s="8"/>
      <c r="C19" s="9" t="n">
        <v>3</v>
      </c>
      <c r="D19" s="9" t="n">
        <v>1</v>
      </c>
      <c r="E19" s="9" t="s">
        <v>63</v>
      </c>
      <c r="F19" s="9" t="n">
        <v>1086</v>
      </c>
      <c r="G19" s="8" t="s">
        <v>264</v>
      </c>
      <c r="H19" s="9" t="s">
        <v>61</v>
      </c>
      <c r="I19" s="9" t="n">
        <v>4</v>
      </c>
      <c r="J19" s="9"/>
      <c r="K19" s="9" t="n">
        <v>64</v>
      </c>
      <c r="L19" s="9" t="n">
        <v>1082</v>
      </c>
      <c r="M19" s="9" t="n">
        <v>1083</v>
      </c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cursada",IF(AND(OR(L19="",COUNTIF($F$2:$F$26,L19)=0,COUNTIFS($F$2:$F$26,L19,$Q$2:$Q$26,"Aprobada")&gt;0,AND(Resumen!$B$15="La cursada aprobada",COUNTIFS($F$2:$F$26,L19,$Q$2:$Q$26,"Cursada aprobada")&gt;0)),OR(M19="",COUNTIF($F$2:$F$26,M19)=0,COUNTIFS($F$2:$F$26,M19,$Q$2:$Q$26,"Aprobada")&gt;0,AND(Resumen!$B$15="La cursada aprobada",COUNTIFS($F$2:$F$26,M19,$Q$2:$Q$26,"Cursada aprobada")&gt;0)),OR(N19="",COUNTIF($F$2:$F$26,N19)=0,COUNTIFS($F$2:$F$26,N19,$Q$2:$Q$26,"Aprobada")&gt;0,AND(Resumen!$B$15="La cursada aprobada",COUNTIFS($F$2:$F$26,N19,$Q$2:$Q$26,"Cursada aprobada")&gt;0)),OR(O19="",COUNTIF($F$2:$F$26,O19)=0,COUNTIFS($F$2:$F$26,O19,$Q$2:$Q$26,"Aprobada")&gt;0,AND(Resumen!$B$15="La cursada aprobada",COUNTIFS($F$2:$F$26,O19,$Q$2:$Q$26,"Cursada aprobada")&gt;0)),OR(P19="",COUNTIF($F$2:$F$26,P19)=0,COUNTIFS($F$2:$F$26,P19,$Q$2:$Q$26,"Aprobada")&gt;0,AND(Resumen!$B$15="La cursada aprobada",COUNTIFS($F$2:$F$26,P19,$Q$2:$Q$26,"Cursada aprobada")&gt;0))),"Sí","No")))</f>
        <v>No</v>
      </c>
      <c r="S19" s="8" t="str">
        <f aca="false">TRIM(IF(NOT(OR(L19="",COUNTIF($F$2:$F$26,L19)=0,COUNTIFS($F$2:$F$26,L19,$Q$2:$Q$26,"Aprobada")&gt;0,AND(Resumen!$B$15="La cursada aprobada",COUNTIFS($F$2:$F$26,L19,$Q$2:$Q$26,"Cursada aprobada")&gt;0))),L19&amp;" ","")&amp;IF(NOT(OR(M19="",COUNTIF($F$2:$F$26,M19)=0,COUNTIFS($F$2:$F$26,M19,$Q$2:$Q$26,"Aprobada")&gt;0,AND(Resumen!$B$15="La cursada aprobada",COUNTIFS($F$2:$F$26,M19,$Q$2:$Q$26,"Cursada aprobada")&gt;0))),M19&amp;" ","")&amp;IF(NOT(OR(N19="",COUNTIF($F$2:$F$26,N19)=0,COUNTIFS($F$2:$F$26,N19,$Q$2:$Q$26,"Aprobada")&gt;0,AND(Resumen!$B$15="La cursada aprobada",COUNTIFS($F$2:$F$26,N19,$Q$2:$Q$26,"Cursada aprobada")&gt;0))),N19&amp;" ","")&amp;IF(NOT(OR(O19="",COUNTIF($F$2:$F$26,O19)=0,COUNTIFS($F$2:$F$26,O19,$Q$2:$Q$26,"Aprobada")&gt;0,AND(Resumen!$B$15="La cursada aprobada",COUNTIFS($F$2:$F$26,O19,$Q$2:$Q$26,"Cursada aprobada")&gt;0))),O19&amp;" ","")&amp;IF(NOT(OR(P19="",COUNTIF($F$2:$F$26,P19)=0,COUNTIFS($F$2:$F$26,P19,$Q$2:$Q$26,"Aprobada")&gt;0,AND(Resumen!$B$15="La cursada aprobada",COUNTIFS($F$2:$F$26,P19,$Q$2:$Q$26,"Cursada aprobada")&gt;0))),P19&amp;" ",""))</f>
        <v>1082 1083</v>
      </c>
      <c r="T19" s="9" t="str">
        <f aca="false">IF(Q19="Cursada aprobada",IF(AND(OR(L19="",COUNTIF($F$2:$F$26,L19)=0,COUNTIFS($F$2:$F$26,L19,$Q$2:$Q$26,"Aprobada")&gt;0),OR(M19="",COUNTIF($F$2:$F$26,M19)=0,COUNTIFS($F$2:$F$26,M19,$Q$2:$Q$26,"Aprobada")&gt;0),OR(N19="",COUNTIF($F$2:$F$26,N19)=0,COUNTIFS($F$2:$F$26,N19,$Q$2:$Q$26,"Aprobada")&gt;0),OR(O19="",COUNTIF($F$2:$F$26,O19)=0,COUNTIFS($F$2:$F$26,O19,$Q$2:$Q$26,"Aprobada")&gt;0),OR(P19="",COUNTIF($F$2:$F$26,P19)=0,COUNTIFS($F$2:$F$26,P19,$Q$2:$Q$26,"Aprobada")&gt;0)),"Sí","No"),"")</f>
        <v/>
      </c>
      <c r="U19" s="9" t="str">
        <f aca="false">IF(Q19="Aprobada",TRIM(IF(NOT(OR(L19="",COUNTIF($F$2:$F$26,L19)=0,COUNTIFS($F$2:$F$26,L19,$Q$2:$Q$26,"Aprobada")&gt;0)),L19&amp;" ","")&amp;IF(NOT(OR(M19="",COUNTIF($F$2:$F$26,M19)=0,COUNTIFS($F$2:$F$26,M19,$Q$2:$Q$26,"Aprobada")&gt;0)),M19&amp;" ","")&amp;IF(NOT(OR(N19="",COUNTIF($F$2:$F$26,N19)=0,COUNTIFS($F$2:$F$26,N19,$Q$2:$Q$26,"Aprobada")&gt;0)),N19&amp;" ","")&amp;IF(NOT(OR(O19="",COUNTIF($F$2:$F$26,O19)=0,COUNTIFS($F$2:$F$26,O19,$Q$2:$Q$26,"Aprobada")&gt;0)),O19&amp;" ","")&amp;IF(NOT(OR(P19="",COUNTIF($F$2:$F$26,P19)=0,COUNTIFS($F$2:$F$26,P19,$Q$2:$Q$26,"Aprobada")&gt;0)),P19&amp;" ","")),IF(Q19="Cursada aprobada",TRIM(IF(NOT(OR(L19="",COUNTIF($F$2:$F$26,L19)=0,COUNTIFS($F$2:$F$26,L19,$Q$2:$Q$26,"Aprobada")&gt;0,AND(Resumen!$B$15="La cursada aprobada",COUNTIFS($F$2:$F$26,L19,$Q$2:$Q$26,"Cursada aprobada")&gt;0))),L19&amp;" ","")&amp;IF(NOT(OR(M19="",COUNTIF($F$2:$F$26,M19)=0,COUNTIFS($F$2:$F$26,M19,$Q$2:$Q$26,"Aprobada")&gt;0,AND(Resumen!$B$15="La cursada aprobada",COUNTIFS($F$2:$F$26,M19,$Q$2:$Q$26,"Cursada aprobada")&gt;0))),M19&amp;" ","")&amp;IF(NOT(OR(N19="",COUNTIF($F$2:$F$26,N19)=0,COUNTIFS($F$2:$F$26,N19,$Q$2:$Q$26,"Aprobada")&gt;0,AND(Resumen!$B$15="La cursada aprobada",COUNTIFS($F$2:$F$26,N19,$Q$2:$Q$26,"Cursada aprobada")&gt;0))),N19&amp;" ","")&amp;IF(NOT(OR(O19="",COUNTIF($F$2:$F$26,O19)=0,COUNTIFS($F$2:$F$26,O19,$Q$2:$Q$26,"Aprobada")&gt;0,AND(Resumen!$B$15="La cursada aprobada",COUNTIFS($F$2:$F$26,O19,$Q$2:$Q$26,"Cursada aprobada")&gt;0))),O19&amp;" ","")&amp;IF(NOT(OR(P19="",COUNTIF($F$2:$F$26,P19)=0,COUNTIFS($F$2:$F$26,P19,$Q$2:$Q$26,"Aprobada")&gt;0,AND(Resumen!$B$15="La cursada aprobada",COUNTIFS($F$2:$F$26,P19,$Q$2:$Q$26,"Cursada aprobada")&gt;0))),P19&amp;" ","")),""))</f>
        <v/>
      </c>
    </row>
    <row r="20" customFormat="false" ht="15" hidden="false" customHeight="false" outlineLevel="0" collapsed="false">
      <c r="A20" s="8" t="s">
        <v>240</v>
      </c>
      <c r="B20" s="8"/>
      <c r="C20" s="9" t="n">
        <v>3</v>
      </c>
      <c r="D20" s="9" t="n">
        <v>2</v>
      </c>
      <c r="E20" s="9" t="s">
        <v>63</v>
      </c>
      <c r="F20" s="9" t="n">
        <v>1089</v>
      </c>
      <c r="G20" s="8" t="s">
        <v>265</v>
      </c>
      <c r="H20" s="9" t="s">
        <v>61</v>
      </c>
      <c r="I20" s="9" t="n">
        <v>4</v>
      </c>
      <c r="J20" s="9"/>
      <c r="K20" s="9" t="n">
        <v>64</v>
      </c>
      <c r="L20" s="9" t="n">
        <v>1083</v>
      </c>
      <c r="M20" s="9" t="n">
        <v>1084</v>
      </c>
      <c r="N20" s="9" t="n">
        <v>1085</v>
      </c>
      <c r="O20" s="9" t="n">
        <v>1086</v>
      </c>
      <c r="P20" s="9"/>
      <c r="Q20" s="10" t="s">
        <v>62</v>
      </c>
      <c r="R20" s="9" t="str">
        <f aca="false">IF(Q20="Aprobada","Ya aprobada",IF(Q20="Cursada aprobada","Ya cursada",IF(AND(OR(L20="",COUNTIF($F$2:$F$26,L20)=0,COUNTIFS($F$2:$F$26,L20,$Q$2:$Q$26,"Aprobada")&gt;0,AND(Resumen!$B$15="La cursada aprobada",COUNTIFS($F$2:$F$26,L20,$Q$2:$Q$26,"Cursada aprobada")&gt;0)),OR(M20="",COUNTIF($F$2:$F$26,M20)=0,COUNTIFS($F$2:$F$26,M20,$Q$2:$Q$26,"Aprobada")&gt;0,AND(Resumen!$B$15="La cursada aprobada",COUNTIFS($F$2:$F$26,M20,$Q$2:$Q$26,"Cursada aprobada")&gt;0)),OR(N20="",COUNTIF($F$2:$F$26,N20)=0,COUNTIFS($F$2:$F$26,N20,$Q$2:$Q$26,"Aprobada")&gt;0,AND(Resumen!$B$15="La cursada aprobada",COUNTIFS($F$2:$F$26,N20,$Q$2:$Q$26,"Cursada aprobada")&gt;0)),OR(O20="",COUNTIF($F$2:$F$26,O20)=0,COUNTIFS($F$2:$F$26,O20,$Q$2:$Q$26,"Aprobada")&gt;0,AND(Resumen!$B$15="La cursada aprobada",COUNTIFS($F$2:$F$26,O20,$Q$2:$Q$26,"Cursada aprobada")&gt;0)),OR(P20="",COUNTIF($F$2:$F$26,P20)=0,COUNTIFS($F$2:$F$26,P20,$Q$2:$Q$26,"Aprobada")&gt;0,AND(Resumen!$B$15="La cursada aprobada",COUNTIFS($F$2:$F$26,P20,$Q$2:$Q$26,"Cursada aprobada")&gt;0))),"Sí","No")))</f>
        <v>No</v>
      </c>
      <c r="S20" s="8" t="str">
        <f aca="false">TRIM(IF(NOT(OR(L20="",COUNTIF($F$2:$F$26,L20)=0,COUNTIFS($F$2:$F$26,L20,$Q$2:$Q$26,"Aprobada")&gt;0,AND(Resumen!$B$15="La cursada aprobada",COUNTIFS($F$2:$F$26,L20,$Q$2:$Q$26,"Cursada aprobada")&gt;0))),L20&amp;" ","")&amp;IF(NOT(OR(M20="",COUNTIF($F$2:$F$26,M20)=0,COUNTIFS($F$2:$F$26,M20,$Q$2:$Q$26,"Aprobada")&gt;0,AND(Resumen!$B$15="La cursada aprobada",COUNTIFS($F$2:$F$26,M20,$Q$2:$Q$26,"Cursada aprobada")&gt;0))),M20&amp;" ","")&amp;IF(NOT(OR(N20="",COUNTIF($F$2:$F$26,N20)=0,COUNTIFS($F$2:$F$26,N20,$Q$2:$Q$26,"Aprobada")&gt;0,AND(Resumen!$B$15="La cursada aprobada",COUNTIFS($F$2:$F$26,N20,$Q$2:$Q$26,"Cursada aprobada")&gt;0))),N20&amp;" ","")&amp;IF(NOT(OR(O20="",COUNTIF($F$2:$F$26,O20)=0,COUNTIFS($F$2:$F$26,O20,$Q$2:$Q$26,"Aprobada")&gt;0,AND(Resumen!$B$15="La cursada aprobada",COUNTIFS($F$2:$F$26,O20,$Q$2:$Q$26,"Cursada aprobada")&gt;0))),O20&amp;" ","")&amp;IF(NOT(OR(P20="",COUNTIF($F$2:$F$26,P20)=0,COUNTIFS($F$2:$F$26,P20,$Q$2:$Q$26,"Aprobada")&gt;0,AND(Resumen!$B$15="La cursada aprobada",COUNTIFS($F$2:$F$26,P20,$Q$2:$Q$26,"Cursada aprobada")&gt;0))),P20&amp;" ",""))</f>
        <v>1083 1084 1085 1086</v>
      </c>
      <c r="T20" s="9" t="str">
        <f aca="false">IF(Q20="Cursada aprobada",IF(AND(OR(L20="",COUNTIF($F$2:$F$26,L20)=0,COUNTIFS($F$2:$F$26,L20,$Q$2:$Q$26,"Aprobada")&gt;0),OR(M20="",COUNTIF($F$2:$F$26,M20)=0,COUNTIFS($F$2:$F$26,M20,$Q$2:$Q$26,"Aprobada")&gt;0),OR(N20="",COUNTIF($F$2:$F$26,N20)=0,COUNTIFS($F$2:$F$26,N20,$Q$2:$Q$26,"Aprobada")&gt;0),OR(O20="",COUNTIF($F$2:$F$26,O20)=0,COUNTIFS($F$2:$F$26,O20,$Q$2:$Q$26,"Aprobada")&gt;0),OR(P20="",COUNTIF($F$2:$F$26,P20)=0,COUNTIFS($F$2:$F$26,P20,$Q$2:$Q$26,"Aprobada")&gt;0)),"Sí","No"),"")</f>
        <v/>
      </c>
      <c r="U20" s="9" t="str">
        <f aca="false">IF(Q20="Aprobada",TRIM(IF(NOT(OR(L20="",COUNTIF($F$2:$F$26,L20)=0,COUNTIFS($F$2:$F$26,L20,$Q$2:$Q$26,"Aprobada")&gt;0)),L20&amp;" ","")&amp;IF(NOT(OR(M20="",COUNTIF($F$2:$F$26,M20)=0,COUNTIFS($F$2:$F$26,M20,$Q$2:$Q$26,"Aprobada")&gt;0)),M20&amp;" ","")&amp;IF(NOT(OR(N20="",COUNTIF($F$2:$F$26,N20)=0,COUNTIFS($F$2:$F$26,N20,$Q$2:$Q$26,"Aprobada")&gt;0)),N20&amp;" ","")&amp;IF(NOT(OR(O20="",COUNTIF($F$2:$F$26,O20)=0,COUNTIFS($F$2:$F$26,O20,$Q$2:$Q$26,"Aprobada")&gt;0)),O20&amp;" ","")&amp;IF(NOT(OR(P20="",COUNTIF($F$2:$F$26,P20)=0,COUNTIFS($F$2:$F$26,P20,$Q$2:$Q$26,"Aprobada")&gt;0)),P20&amp;" ","")),IF(Q20="Cursada aprobada",TRIM(IF(NOT(OR(L20="",COUNTIF($F$2:$F$26,L20)=0,COUNTIFS($F$2:$F$26,L20,$Q$2:$Q$26,"Aprobada")&gt;0,AND(Resumen!$B$15="La cursada aprobada",COUNTIFS($F$2:$F$26,L20,$Q$2:$Q$26,"Cursada aprobada")&gt;0))),L20&amp;" ","")&amp;IF(NOT(OR(M20="",COUNTIF($F$2:$F$26,M20)=0,COUNTIFS($F$2:$F$26,M20,$Q$2:$Q$26,"Aprobada")&gt;0,AND(Resumen!$B$15="La cursada aprobada",COUNTIFS($F$2:$F$26,M20,$Q$2:$Q$26,"Cursada aprobada")&gt;0))),M20&amp;" ","")&amp;IF(NOT(OR(N20="",COUNTIF($F$2:$F$26,N20)=0,COUNTIFS($F$2:$F$26,N20,$Q$2:$Q$26,"Aprobada")&gt;0,AND(Resumen!$B$15="La cursada aprobada",COUNTIFS($F$2:$F$26,N20,$Q$2:$Q$26,"Cursada aprobada")&gt;0))),N20&amp;" ","")&amp;IF(NOT(OR(O20="",COUNTIF($F$2:$F$26,O20)=0,COUNTIFS($F$2:$F$26,O20,$Q$2:$Q$26,"Aprobada")&gt;0,AND(Resumen!$B$15="La cursada aprobada",COUNTIFS($F$2:$F$26,O20,$Q$2:$Q$26,"Cursada aprobada")&gt;0))),O20&amp;" ","")&amp;IF(NOT(OR(P20="",COUNTIF($F$2:$F$26,P20)=0,COUNTIFS($F$2:$F$26,P20,$Q$2:$Q$26,"Aprobada")&gt;0,AND(Resumen!$B$15="La cursada aprobada",COUNTIFS($F$2:$F$26,P20,$Q$2:$Q$26,"Cursada aprobada")&gt;0))),P20&amp;" ","")),""))</f>
        <v/>
      </c>
    </row>
    <row r="21" customFormat="false" ht="15" hidden="false" customHeight="false" outlineLevel="0" collapsed="false">
      <c r="A21" s="8" t="s">
        <v>240</v>
      </c>
      <c r="B21" s="8"/>
      <c r="C21" s="9" t="n">
        <v>3</v>
      </c>
      <c r="D21" s="9" t="n">
        <v>2</v>
      </c>
      <c r="E21" s="9" t="s">
        <v>63</v>
      </c>
      <c r="F21" s="9" t="n">
        <v>571</v>
      </c>
      <c r="G21" s="8" t="s">
        <v>266</v>
      </c>
      <c r="H21" s="9" t="s">
        <v>61</v>
      </c>
      <c r="I21" s="9" t="n">
        <v>4</v>
      </c>
      <c r="J21" s="9"/>
      <c r="K21" s="9" t="n">
        <v>64</v>
      </c>
      <c r="L21" s="9" t="n">
        <v>251</v>
      </c>
      <c r="M21" s="9" t="n">
        <v>1082</v>
      </c>
      <c r="N21" s="9" t="n">
        <v>1087</v>
      </c>
      <c r="O21" s="9"/>
      <c r="P21" s="9"/>
      <c r="Q21" s="10" t="s">
        <v>62</v>
      </c>
      <c r="R21" s="9" t="str">
        <f aca="false">IF(Q21="Aprobada","Ya aprobada",IF(Q21="Cursada aprobada","Ya cursada",IF(AND(OR(L21="",COUNTIF($F$2:$F$26,L21)=0,COUNTIFS($F$2:$F$26,L21,$Q$2:$Q$26,"Aprobada")&gt;0,AND(Resumen!$B$15="La cursada aprobada",COUNTIFS($F$2:$F$26,L21,$Q$2:$Q$26,"Cursada aprobada")&gt;0)),OR(M21="",COUNTIF($F$2:$F$26,M21)=0,COUNTIFS($F$2:$F$26,M21,$Q$2:$Q$26,"Aprobada")&gt;0,AND(Resumen!$B$15="La cursada aprobada",COUNTIFS($F$2:$F$26,M21,$Q$2:$Q$26,"Cursada aprobada")&gt;0)),OR(N21="",COUNTIF($F$2:$F$26,N21)=0,COUNTIFS($F$2:$F$26,N21,$Q$2:$Q$26,"Aprobada")&gt;0,AND(Resumen!$B$15="La cursada aprobada",COUNTIFS($F$2:$F$26,N21,$Q$2:$Q$26,"Cursada aprobada")&gt;0)),OR(O21="",COUNTIF($F$2:$F$26,O21)=0,COUNTIFS($F$2:$F$26,O21,$Q$2:$Q$26,"Aprobada")&gt;0,AND(Resumen!$B$15="La cursada aprobada",COUNTIFS($F$2:$F$26,O21,$Q$2:$Q$26,"Cursada aprobada")&gt;0)),OR(P21="",COUNTIF($F$2:$F$26,P21)=0,COUNTIFS($F$2:$F$26,P21,$Q$2:$Q$26,"Aprobada")&gt;0,AND(Resumen!$B$15="La cursada aprobada",COUNTIFS($F$2:$F$26,P21,$Q$2:$Q$26,"Cursada aprobada")&gt;0))),"Sí","No")))</f>
        <v>No</v>
      </c>
      <c r="S21" s="8" t="str">
        <f aca="false">TRIM(IF(NOT(OR(L21="",COUNTIF($F$2:$F$26,L21)=0,COUNTIFS($F$2:$F$26,L21,$Q$2:$Q$26,"Aprobada")&gt;0,AND(Resumen!$B$15="La cursada aprobada",COUNTIFS($F$2:$F$26,L21,$Q$2:$Q$26,"Cursada aprobada")&gt;0))),L21&amp;" ","")&amp;IF(NOT(OR(M21="",COUNTIF($F$2:$F$26,M21)=0,COUNTIFS($F$2:$F$26,M21,$Q$2:$Q$26,"Aprobada")&gt;0,AND(Resumen!$B$15="La cursada aprobada",COUNTIFS($F$2:$F$26,M21,$Q$2:$Q$26,"Cursada aprobada")&gt;0))),M21&amp;" ","")&amp;IF(NOT(OR(N21="",COUNTIF($F$2:$F$26,N21)=0,COUNTIFS($F$2:$F$26,N21,$Q$2:$Q$26,"Aprobada")&gt;0,AND(Resumen!$B$15="La cursada aprobada",COUNTIFS($F$2:$F$26,N21,$Q$2:$Q$26,"Cursada aprobada")&gt;0))),N21&amp;" ","")&amp;IF(NOT(OR(O21="",COUNTIF($F$2:$F$26,O21)=0,COUNTIFS($F$2:$F$26,O21,$Q$2:$Q$26,"Aprobada")&gt;0,AND(Resumen!$B$15="La cursada aprobada",COUNTIFS($F$2:$F$26,O21,$Q$2:$Q$26,"Cursada aprobada")&gt;0))),O21&amp;" ","")&amp;IF(NOT(OR(P21="",COUNTIF($F$2:$F$26,P21)=0,COUNTIFS($F$2:$F$26,P21,$Q$2:$Q$26,"Aprobada")&gt;0,AND(Resumen!$B$15="La cursada aprobada",COUNTIFS($F$2:$F$26,P21,$Q$2:$Q$26,"Cursada aprobada")&gt;0))),P21&amp;" ",""))</f>
        <v>251 1082 1087</v>
      </c>
      <c r="T21" s="9" t="str">
        <f aca="false">IF(Q21="Cursada aprobada",IF(AND(OR(L21="",COUNTIF($F$2:$F$26,L21)=0,COUNTIFS($F$2:$F$26,L21,$Q$2:$Q$26,"Aprobada")&gt;0),OR(M21="",COUNTIF($F$2:$F$26,M21)=0,COUNTIFS($F$2:$F$26,M21,$Q$2:$Q$26,"Aprobada")&gt;0),OR(N21="",COUNTIF($F$2:$F$26,N21)=0,COUNTIFS($F$2:$F$26,N21,$Q$2:$Q$26,"Aprobada")&gt;0),OR(O21="",COUNTIF($F$2:$F$26,O21)=0,COUNTIFS($F$2:$F$26,O21,$Q$2:$Q$26,"Aprobada")&gt;0),OR(P21="",COUNTIF($F$2:$F$26,P21)=0,COUNTIFS($F$2:$F$26,P21,$Q$2:$Q$26,"Aprobada")&gt;0)),"Sí","No"),"")</f>
        <v/>
      </c>
      <c r="U21" s="9" t="str">
        <f aca="false">IF(Q21="Aprobada",TRIM(IF(NOT(OR(L21="",COUNTIF($F$2:$F$26,L21)=0,COUNTIFS($F$2:$F$26,L21,$Q$2:$Q$26,"Aprobada")&gt;0)),L21&amp;" ","")&amp;IF(NOT(OR(M21="",COUNTIF($F$2:$F$26,M21)=0,COUNTIFS($F$2:$F$26,M21,$Q$2:$Q$26,"Aprobada")&gt;0)),M21&amp;" ","")&amp;IF(NOT(OR(N21="",COUNTIF($F$2:$F$26,N21)=0,COUNTIFS($F$2:$F$26,N21,$Q$2:$Q$26,"Aprobada")&gt;0)),N21&amp;" ","")&amp;IF(NOT(OR(O21="",COUNTIF($F$2:$F$26,O21)=0,COUNTIFS($F$2:$F$26,O21,$Q$2:$Q$26,"Aprobada")&gt;0)),O21&amp;" ","")&amp;IF(NOT(OR(P21="",COUNTIF($F$2:$F$26,P21)=0,COUNTIFS($F$2:$F$26,P21,$Q$2:$Q$26,"Aprobada")&gt;0)),P21&amp;" ","")),IF(Q21="Cursada aprobada",TRIM(IF(NOT(OR(L21="",COUNTIF($F$2:$F$26,L21)=0,COUNTIFS($F$2:$F$26,L21,$Q$2:$Q$26,"Aprobada")&gt;0,AND(Resumen!$B$15="La cursada aprobada",COUNTIFS($F$2:$F$26,L21,$Q$2:$Q$26,"Cursada aprobada")&gt;0))),L21&amp;" ","")&amp;IF(NOT(OR(M21="",COUNTIF($F$2:$F$26,M21)=0,COUNTIFS($F$2:$F$26,M21,$Q$2:$Q$26,"Aprobada")&gt;0,AND(Resumen!$B$15="La cursada aprobada",COUNTIFS($F$2:$F$26,M21,$Q$2:$Q$26,"Cursada aprobada")&gt;0))),M21&amp;" ","")&amp;IF(NOT(OR(N21="",COUNTIF($F$2:$F$26,N21)=0,COUNTIFS($F$2:$F$26,N21,$Q$2:$Q$26,"Aprobada")&gt;0,AND(Resumen!$B$15="La cursada aprobada",COUNTIFS($F$2:$F$26,N21,$Q$2:$Q$26,"Cursada aprobada")&gt;0))),N21&amp;" ","")&amp;IF(NOT(OR(O21="",COUNTIF($F$2:$F$26,O21)=0,COUNTIFS($F$2:$F$26,O21,$Q$2:$Q$26,"Aprobada")&gt;0,AND(Resumen!$B$15="La cursada aprobada",COUNTIFS($F$2:$F$26,O21,$Q$2:$Q$26,"Cursada aprobada")&gt;0))),O21&amp;" ","")&amp;IF(NOT(OR(P21="",COUNTIF($F$2:$F$26,P21)=0,COUNTIFS($F$2:$F$26,P21,$Q$2:$Q$26,"Aprobada")&gt;0,AND(Resumen!$B$15="La cursada aprobada",COUNTIFS($F$2:$F$26,P21,$Q$2:$Q$26,"Cursada aprobada")&gt;0))),P21&amp;" ","")),""))</f>
        <v/>
      </c>
    </row>
    <row r="22" customFormat="false" ht="15" hidden="false" customHeight="false" outlineLevel="0" collapsed="false">
      <c r="A22" s="8" t="s">
        <v>240</v>
      </c>
      <c r="B22" s="8"/>
      <c r="C22" s="9" t="n">
        <v>3</v>
      </c>
      <c r="D22" s="9" t="n">
        <v>2</v>
      </c>
      <c r="E22" s="9" t="s">
        <v>63</v>
      </c>
      <c r="F22" s="9" t="n">
        <v>1088</v>
      </c>
      <c r="G22" s="8" t="s">
        <v>267</v>
      </c>
      <c r="H22" s="9" t="s">
        <v>92</v>
      </c>
      <c r="I22" s="9" t="n">
        <v>6</v>
      </c>
      <c r="J22" s="9"/>
      <c r="K22" s="9" t="n">
        <v>96</v>
      </c>
      <c r="L22" s="9" t="n">
        <v>1083</v>
      </c>
      <c r="M22" s="9" t="n">
        <v>1084</v>
      </c>
      <c r="N22" s="9" t="n">
        <v>1085</v>
      </c>
      <c r="O22" s="9" t="n">
        <v>1087</v>
      </c>
      <c r="P22" s="9"/>
      <c r="Q22" s="10" t="s">
        <v>62</v>
      </c>
      <c r="R22" s="9" t="str">
        <f aca="false">IF(Q22="Aprobada","Ya aprobada",IF(Q22="Cursada aprobada","Ya cursada",IF(AND(OR(L22="",COUNTIF($F$2:$F$26,L22)=0,COUNTIFS($F$2:$F$26,L22,$Q$2:$Q$26,"Aprobada")&gt;0,AND(Resumen!$B$15="La cursada aprobada",COUNTIFS($F$2:$F$26,L22,$Q$2:$Q$26,"Cursada aprobada")&gt;0)),OR(M22="",COUNTIF($F$2:$F$26,M22)=0,COUNTIFS($F$2:$F$26,M22,$Q$2:$Q$26,"Aprobada")&gt;0,AND(Resumen!$B$15="La cursada aprobada",COUNTIFS($F$2:$F$26,M22,$Q$2:$Q$26,"Cursada aprobada")&gt;0)),OR(N22="",COUNTIF($F$2:$F$26,N22)=0,COUNTIFS($F$2:$F$26,N22,$Q$2:$Q$26,"Aprobada")&gt;0,AND(Resumen!$B$15="La cursada aprobada",COUNTIFS($F$2:$F$26,N22,$Q$2:$Q$26,"Cursada aprobada")&gt;0)),OR(O22="",COUNTIF($F$2:$F$26,O22)=0,COUNTIFS($F$2:$F$26,O22,$Q$2:$Q$26,"Aprobada")&gt;0,AND(Resumen!$B$15="La cursada aprobada",COUNTIFS($F$2:$F$26,O22,$Q$2:$Q$26,"Cursada aprobada")&gt;0)),OR(P22="",COUNTIF($F$2:$F$26,P22)=0,COUNTIFS($F$2:$F$26,P22,$Q$2:$Q$26,"Aprobada")&gt;0,AND(Resumen!$B$15="La cursada aprobada",COUNTIFS($F$2:$F$26,P22,$Q$2:$Q$26,"Cursada aprobada")&gt;0))),"Sí","No")))</f>
        <v>No</v>
      </c>
      <c r="S22" s="8" t="str">
        <f aca="false">TRIM(IF(NOT(OR(L22="",COUNTIF($F$2:$F$26,L22)=0,COUNTIFS($F$2:$F$26,L22,$Q$2:$Q$26,"Aprobada")&gt;0,AND(Resumen!$B$15="La cursada aprobada",COUNTIFS($F$2:$F$26,L22,$Q$2:$Q$26,"Cursada aprobada")&gt;0))),L22&amp;" ","")&amp;IF(NOT(OR(M22="",COUNTIF($F$2:$F$26,M22)=0,COUNTIFS($F$2:$F$26,M22,$Q$2:$Q$26,"Aprobada")&gt;0,AND(Resumen!$B$15="La cursada aprobada",COUNTIFS($F$2:$F$26,M22,$Q$2:$Q$26,"Cursada aprobada")&gt;0))),M22&amp;" ","")&amp;IF(NOT(OR(N22="",COUNTIF($F$2:$F$26,N22)=0,COUNTIFS($F$2:$F$26,N22,$Q$2:$Q$26,"Aprobada")&gt;0,AND(Resumen!$B$15="La cursada aprobada",COUNTIFS($F$2:$F$26,N22,$Q$2:$Q$26,"Cursada aprobada")&gt;0))),N22&amp;" ","")&amp;IF(NOT(OR(O22="",COUNTIF($F$2:$F$26,O22)=0,COUNTIFS($F$2:$F$26,O22,$Q$2:$Q$26,"Aprobada")&gt;0,AND(Resumen!$B$15="La cursada aprobada",COUNTIFS($F$2:$F$26,O22,$Q$2:$Q$26,"Cursada aprobada")&gt;0))),O22&amp;" ","")&amp;IF(NOT(OR(P22="",COUNTIF($F$2:$F$26,P22)=0,COUNTIFS($F$2:$F$26,P22,$Q$2:$Q$26,"Aprobada")&gt;0,AND(Resumen!$B$15="La cursada aprobada",COUNTIFS($F$2:$F$26,P22,$Q$2:$Q$26,"Cursada aprobada")&gt;0))),P22&amp;" ",""))</f>
        <v>1083 1084 1085 1087</v>
      </c>
      <c r="T22" s="9" t="str">
        <f aca="false">IF(Q22="Cursada aprobada",IF(AND(OR(L22="",COUNTIF($F$2:$F$26,L22)=0,COUNTIFS($F$2:$F$26,L22,$Q$2:$Q$26,"Aprobada")&gt;0),OR(M22="",COUNTIF($F$2:$F$26,M22)=0,COUNTIFS($F$2:$F$26,M22,$Q$2:$Q$26,"Aprobada")&gt;0),OR(N22="",COUNTIF($F$2:$F$26,N22)=0,COUNTIFS($F$2:$F$26,N22,$Q$2:$Q$26,"Aprobada")&gt;0),OR(O22="",COUNTIF($F$2:$F$26,O22)=0,COUNTIFS($F$2:$F$26,O22,$Q$2:$Q$26,"Aprobada")&gt;0),OR(P22="",COUNTIF($F$2:$F$26,P22)=0,COUNTIFS($F$2:$F$26,P22,$Q$2:$Q$26,"Aprobada")&gt;0)),"Sí","No"),"")</f>
        <v/>
      </c>
      <c r="U22" s="9" t="str">
        <f aca="false">IF(Q22="Aprobada",TRIM(IF(NOT(OR(L22="",COUNTIF($F$2:$F$26,L22)=0,COUNTIFS($F$2:$F$26,L22,$Q$2:$Q$26,"Aprobada")&gt;0)),L22&amp;" ","")&amp;IF(NOT(OR(M22="",COUNTIF($F$2:$F$26,M22)=0,COUNTIFS($F$2:$F$26,M22,$Q$2:$Q$26,"Aprobada")&gt;0)),M22&amp;" ","")&amp;IF(NOT(OR(N22="",COUNTIF($F$2:$F$26,N22)=0,COUNTIFS($F$2:$F$26,N22,$Q$2:$Q$26,"Aprobada")&gt;0)),N22&amp;" ","")&amp;IF(NOT(OR(O22="",COUNTIF($F$2:$F$26,O22)=0,COUNTIFS($F$2:$F$26,O22,$Q$2:$Q$26,"Aprobada")&gt;0)),O22&amp;" ","")&amp;IF(NOT(OR(P22="",COUNTIF($F$2:$F$26,P22)=0,COUNTIFS($F$2:$F$26,P22,$Q$2:$Q$26,"Aprobada")&gt;0)),P22&amp;" ","")),IF(Q22="Cursada aprobada",TRIM(IF(NOT(OR(L22="",COUNTIF($F$2:$F$26,L22)=0,COUNTIFS($F$2:$F$26,L22,$Q$2:$Q$26,"Aprobada")&gt;0,AND(Resumen!$B$15="La cursada aprobada",COUNTIFS($F$2:$F$26,L22,$Q$2:$Q$26,"Cursada aprobada")&gt;0))),L22&amp;" ","")&amp;IF(NOT(OR(M22="",COUNTIF($F$2:$F$26,M22)=0,COUNTIFS($F$2:$F$26,M22,$Q$2:$Q$26,"Aprobada")&gt;0,AND(Resumen!$B$15="La cursada aprobada",COUNTIFS($F$2:$F$26,M22,$Q$2:$Q$26,"Cursada aprobada")&gt;0))),M22&amp;" ","")&amp;IF(NOT(OR(N22="",COUNTIF($F$2:$F$26,N22)=0,COUNTIFS($F$2:$F$26,N22,$Q$2:$Q$26,"Aprobada")&gt;0,AND(Resumen!$B$15="La cursada aprobada",COUNTIFS($F$2:$F$26,N22,$Q$2:$Q$26,"Cursada aprobada")&gt;0))),N22&amp;" ","")&amp;IF(NOT(OR(O22="",COUNTIF($F$2:$F$26,O22)=0,COUNTIFS($F$2:$F$26,O22,$Q$2:$Q$26,"Aprobada")&gt;0,AND(Resumen!$B$15="La cursada aprobada",COUNTIFS($F$2:$F$26,O22,$Q$2:$Q$26,"Cursada aprobada")&gt;0))),O22&amp;" ","")&amp;IF(NOT(OR(P22="",COUNTIF($F$2:$F$26,P22)=0,COUNTIFS($F$2:$F$26,P22,$Q$2:$Q$26,"Aprobada")&gt;0,AND(Resumen!$B$15="La cursada aprobada",COUNTIFS($F$2:$F$26,P22,$Q$2:$Q$26,"Cursada aprobada")&gt;0))),P22&amp;" ","")),""))</f>
        <v/>
      </c>
    </row>
    <row r="23" customFormat="false" ht="15" hidden="false" customHeight="false" outlineLevel="0" collapsed="false">
      <c r="A23" s="8" t="s">
        <v>116</v>
      </c>
      <c r="B23" s="8"/>
      <c r="C23" s="9"/>
      <c r="D23" s="9"/>
      <c r="E23" s="9" t="s">
        <v>99</v>
      </c>
      <c r="F23" s="9" t="n">
        <v>595</v>
      </c>
      <c r="G23" s="8" t="s">
        <v>117</v>
      </c>
      <c r="H23" s="9"/>
      <c r="I23" s="9" t="n">
        <v>4</v>
      </c>
      <c r="J23" s="9"/>
      <c r="K23" s="9" t="n">
        <v>64</v>
      </c>
      <c r="L23" s="9"/>
      <c r="M23" s="9"/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cursada",IF(AND(OR(L23="",COUNTIF($F$2:$F$26,L23)=0,COUNTIFS($F$2:$F$26,L23,$Q$2:$Q$26,"Aprobada")&gt;0,AND(Resumen!$B$15="La cursada aprobada",COUNTIFS($F$2:$F$26,L23,$Q$2:$Q$26,"Cursada aprobada")&gt;0)),OR(M23="",COUNTIF($F$2:$F$26,M23)=0,COUNTIFS($F$2:$F$26,M23,$Q$2:$Q$26,"Aprobada")&gt;0,AND(Resumen!$B$15="La cursada aprobada",COUNTIFS($F$2:$F$26,M23,$Q$2:$Q$26,"Cursada aprobada")&gt;0)),OR(N23="",COUNTIF($F$2:$F$26,N23)=0,COUNTIFS($F$2:$F$26,N23,$Q$2:$Q$26,"Aprobada")&gt;0,AND(Resumen!$B$15="La cursada aprobada",COUNTIFS($F$2:$F$26,N23,$Q$2:$Q$26,"Cursada aprobada")&gt;0)),OR(O23="",COUNTIF($F$2:$F$26,O23)=0,COUNTIFS($F$2:$F$26,O23,$Q$2:$Q$26,"Aprobada")&gt;0,AND(Resumen!$B$15="La cursada aprobada",COUNTIFS($F$2:$F$26,O23,$Q$2:$Q$26,"Cursada aprobada")&gt;0)),OR(P23="",COUNTIF($F$2:$F$26,P23)=0,COUNTIFS($F$2:$F$26,P23,$Q$2:$Q$26,"Aprobada")&gt;0,AND(Resumen!$B$15="La cursada aprobada",COUNTIFS($F$2:$F$26,P23,$Q$2:$Q$26,"Cursada aprobada")&gt;0))),"Sí","No")))</f>
        <v>Sí</v>
      </c>
      <c r="S23" s="8" t="str">
        <f aca="false">TRIM(IF(NOT(OR(L23="",COUNTIF($F$2:$F$26,L23)=0,COUNTIFS($F$2:$F$26,L23,$Q$2:$Q$26,"Aprobada")&gt;0,AND(Resumen!$B$15="La cursada aprobada",COUNTIFS($F$2:$F$26,L23,$Q$2:$Q$26,"Cursada aprobada")&gt;0))),L23&amp;" ","")&amp;IF(NOT(OR(M23="",COUNTIF($F$2:$F$26,M23)=0,COUNTIFS($F$2:$F$26,M23,$Q$2:$Q$26,"Aprobada")&gt;0,AND(Resumen!$B$15="La cursada aprobada",COUNTIFS($F$2:$F$26,M23,$Q$2:$Q$26,"Cursada aprobada")&gt;0))),M23&amp;" ","")&amp;IF(NOT(OR(N23="",COUNTIF($F$2:$F$26,N23)=0,COUNTIFS($F$2:$F$26,N23,$Q$2:$Q$26,"Aprobada")&gt;0,AND(Resumen!$B$15="La cursada aprobada",COUNTIFS($F$2:$F$26,N23,$Q$2:$Q$26,"Cursada aprobada")&gt;0))),N23&amp;" ","")&amp;IF(NOT(OR(O23="",COUNTIF($F$2:$F$26,O23)=0,COUNTIFS($F$2:$F$26,O23,$Q$2:$Q$26,"Aprobada")&gt;0,AND(Resumen!$B$15="La cursada aprobada",COUNTIFS($F$2:$F$26,O23,$Q$2:$Q$26,"Cursada aprobada")&gt;0))),O23&amp;" ","")&amp;IF(NOT(OR(P23="",COUNTIF($F$2:$F$26,P23)=0,COUNTIFS($F$2:$F$26,P23,$Q$2:$Q$26,"Aprobada")&gt;0,AND(Resumen!$B$15="La cursada aprobada",COUNTIFS($F$2:$F$26,P23,$Q$2:$Q$26,"Cursada aprobada")&gt;0))),P23&amp;" ",""))</f>
        <v/>
      </c>
      <c r="T23" s="9" t="str">
        <f aca="false">IF(Q23="Cursada aprobada",IF(AND(OR(L23="",COUNTIF($F$2:$F$26,L23)=0,COUNTIFS($F$2:$F$26,L23,$Q$2:$Q$26,"Aprobada")&gt;0),OR(M23="",COUNTIF($F$2:$F$26,M23)=0,COUNTIFS($F$2:$F$26,M23,$Q$2:$Q$26,"Aprobada")&gt;0),OR(N23="",COUNTIF($F$2:$F$26,N23)=0,COUNTIFS($F$2:$F$26,N23,$Q$2:$Q$26,"Aprobada")&gt;0),OR(O23="",COUNTIF($F$2:$F$26,O23)=0,COUNTIFS($F$2:$F$26,O23,$Q$2:$Q$26,"Aprobada")&gt;0),OR(P23="",COUNTIF($F$2:$F$26,P23)=0,COUNTIFS($F$2:$F$26,P23,$Q$2:$Q$26,"Aprobada")&gt;0)),"Sí","No"),"")</f>
        <v/>
      </c>
      <c r="U23" s="9" t="str">
        <f aca="false">IF(Q23="Aprobada",TRIM(IF(NOT(OR(L23="",COUNTIF($F$2:$F$26,L23)=0,COUNTIFS($F$2:$F$26,L23,$Q$2:$Q$26,"Aprobada")&gt;0)),L23&amp;" ","")&amp;IF(NOT(OR(M23="",COUNTIF($F$2:$F$26,M23)=0,COUNTIFS($F$2:$F$26,M23,$Q$2:$Q$26,"Aprobada")&gt;0)),M23&amp;" ","")&amp;IF(NOT(OR(N23="",COUNTIF($F$2:$F$26,N23)=0,COUNTIFS($F$2:$F$26,N23,$Q$2:$Q$26,"Aprobada")&gt;0)),N23&amp;" ","")&amp;IF(NOT(OR(O23="",COUNTIF($F$2:$F$26,O23)=0,COUNTIFS($F$2:$F$26,O23,$Q$2:$Q$26,"Aprobada")&gt;0)),O23&amp;" ","")&amp;IF(NOT(OR(P23="",COUNTIF($F$2:$F$26,P23)=0,COUNTIFS($F$2:$F$26,P23,$Q$2:$Q$26,"Aprobada")&gt;0)),P23&amp;" ","")),IF(Q23="Cursada aprobada",TRIM(IF(NOT(OR(L23="",COUNTIF($F$2:$F$26,L23)=0,COUNTIFS($F$2:$F$26,L23,$Q$2:$Q$26,"Aprobada")&gt;0,AND(Resumen!$B$15="La cursada aprobada",COUNTIFS($F$2:$F$26,L23,$Q$2:$Q$26,"Cursada aprobada")&gt;0))),L23&amp;" ","")&amp;IF(NOT(OR(M23="",COUNTIF($F$2:$F$26,M23)=0,COUNTIFS($F$2:$F$26,M23,$Q$2:$Q$26,"Aprobada")&gt;0,AND(Resumen!$B$15="La cursada aprobada",COUNTIFS($F$2:$F$26,M23,$Q$2:$Q$26,"Cursada aprobada")&gt;0))),M23&amp;" ","")&amp;IF(NOT(OR(N23="",COUNTIF($F$2:$F$26,N23)=0,COUNTIFS($F$2:$F$26,N23,$Q$2:$Q$26,"Aprobada")&gt;0,AND(Resumen!$B$15="La cursada aprobada",COUNTIFS($F$2:$F$26,N23,$Q$2:$Q$26,"Cursada aprobada")&gt;0))),N23&amp;" ","")&amp;IF(NOT(OR(O23="",COUNTIF($F$2:$F$26,O23)=0,COUNTIFS($F$2:$F$26,O23,$Q$2:$Q$26,"Aprobada")&gt;0,AND(Resumen!$B$15="La cursada aprobada",COUNTIFS($F$2:$F$26,O23,$Q$2:$Q$26,"Cursada aprobada")&gt;0))),O23&amp;" ","")&amp;IF(NOT(OR(P23="",COUNTIF($F$2:$F$26,P23)=0,COUNTIFS($F$2:$F$26,P23,$Q$2:$Q$26,"Aprobada")&gt;0,AND(Resumen!$B$15="La cursada aprobada",COUNTIFS($F$2:$F$26,P23,$Q$2:$Q$26,"Cursada aprobada")&gt;0))),P23&amp;" ","")),""))</f>
        <v/>
      </c>
    </row>
    <row r="24" customFormat="false" ht="15" hidden="false" customHeight="false" outlineLevel="0" collapsed="false">
      <c r="A24" s="8" t="s">
        <v>116</v>
      </c>
      <c r="B24" s="8"/>
      <c r="C24" s="9"/>
      <c r="D24" s="9"/>
      <c r="E24" s="9" t="s">
        <v>63</v>
      </c>
      <c r="F24" s="9" t="n">
        <v>300</v>
      </c>
      <c r="G24" s="8" t="s">
        <v>118</v>
      </c>
      <c r="H24" s="9"/>
      <c r="I24" s="9" t="n">
        <v>2</v>
      </c>
      <c r="J24" s="9"/>
      <c r="K24" s="9" t="n">
        <v>32</v>
      </c>
      <c r="L24" s="9"/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cursada",IF(AND(OR(L24="",COUNTIF($F$2:$F$26,L24)=0,COUNTIFS($F$2:$F$26,L24,$Q$2:$Q$26,"Aprobada")&gt;0,AND(Resumen!$B$15="La cursada aprobada",COUNTIFS($F$2:$F$26,L24,$Q$2:$Q$26,"Cursada aprobada")&gt;0)),OR(M24="",COUNTIF($F$2:$F$26,M24)=0,COUNTIFS($F$2:$F$26,M24,$Q$2:$Q$26,"Aprobada")&gt;0,AND(Resumen!$B$15="La cursada aprobada",COUNTIFS($F$2:$F$26,M24,$Q$2:$Q$26,"Cursada aprobada")&gt;0)),OR(N24="",COUNTIF($F$2:$F$26,N24)=0,COUNTIFS($F$2:$F$26,N24,$Q$2:$Q$26,"Aprobada")&gt;0,AND(Resumen!$B$15="La cursada aprobada",COUNTIFS($F$2:$F$26,N24,$Q$2:$Q$26,"Cursada aprobada")&gt;0)),OR(O24="",COUNTIF($F$2:$F$26,O24)=0,COUNTIFS($F$2:$F$26,O24,$Q$2:$Q$26,"Aprobada")&gt;0,AND(Resumen!$B$15="La cursada aprobada",COUNTIFS($F$2:$F$26,O24,$Q$2:$Q$26,"Cursada aprobada")&gt;0)),OR(P24="",COUNTIF($F$2:$F$26,P24)=0,COUNTIFS($F$2:$F$26,P24,$Q$2:$Q$26,"Aprobada")&gt;0,AND(Resumen!$B$15="La cursada aprobada",COUNTIFS($F$2:$F$26,P24,$Q$2:$Q$26,"Cursada aprobada")&gt;0))),"Sí","No")))</f>
        <v>Sí</v>
      </c>
      <c r="S24" s="8" t="str">
        <f aca="false">TRIM(IF(NOT(OR(L24="",COUNTIF($F$2:$F$26,L24)=0,COUNTIFS($F$2:$F$26,L24,$Q$2:$Q$26,"Aprobada")&gt;0,AND(Resumen!$B$15="La cursada aprobada",COUNTIFS($F$2:$F$26,L24,$Q$2:$Q$26,"Cursada aprobada")&gt;0))),L24&amp;" ","")&amp;IF(NOT(OR(M24="",COUNTIF($F$2:$F$26,M24)=0,COUNTIFS($F$2:$F$26,M24,$Q$2:$Q$26,"Aprobada")&gt;0,AND(Resumen!$B$15="La cursada aprobada",COUNTIFS($F$2:$F$26,M24,$Q$2:$Q$26,"Cursada aprobada")&gt;0))),M24&amp;" ","")&amp;IF(NOT(OR(N24="",COUNTIF($F$2:$F$26,N24)=0,COUNTIFS($F$2:$F$26,N24,$Q$2:$Q$26,"Aprobada")&gt;0,AND(Resumen!$B$15="La cursada aprobada",COUNTIFS($F$2:$F$26,N24,$Q$2:$Q$26,"Cursada aprobada")&gt;0))),N24&amp;" ","")&amp;IF(NOT(OR(O24="",COUNTIF($F$2:$F$26,O24)=0,COUNTIFS($F$2:$F$26,O24,$Q$2:$Q$26,"Aprobada")&gt;0,AND(Resumen!$B$15="La cursada aprobada",COUNTIFS($F$2:$F$26,O24,$Q$2:$Q$26,"Cursada aprobada")&gt;0))),O24&amp;" ","")&amp;IF(NOT(OR(P24="",COUNTIF($F$2:$F$26,P24)=0,COUNTIFS($F$2:$F$26,P24,$Q$2:$Q$26,"Aprobada")&gt;0,AND(Resumen!$B$15="La cursada aprobada",COUNTIFS($F$2:$F$26,P24,$Q$2:$Q$26,"Cursada aprobada")&gt;0))),P24&amp;" ",""))</f>
        <v/>
      </c>
      <c r="T24" s="9" t="str">
        <f aca="false">IF(Q24="Cursada aprobada",IF(AND(OR(L24="",COUNTIF($F$2:$F$26,L24)=0,COUNTIFS($F$2:$F$26,L24,$Q$2:$Q$26,"Aprobada")&gt;0),OR(M24="",COUNTIF($F$2:$F$26,M24)=0,COUNTIFS($F$2:$F$26,M24,$Q$2:$Q$26,"Aprobada")&gt;0),OR(N24="",COUNTIF($F$2:$F$26,N24)=0,COUNTIFS($F$2:$F$26,N24,$Q$2:$Q$26,"Aprobada")&gt;0),OR(O24="",COUNTIF($F$2:$F$26,O24)=0,COUNTIFS($F$2:$F$26,O24,$Q$2:$Q$26,"Aprobada")&gt;0),OR(P24="",COUNTIF($F$2:$F$26,P24)=0,COUNTIFS($F$2:$F$26,P24,$Q$2:$Q$26,"Aprobada")&gt;0)),"Sí","No"),"")</f>
        <v/>
      </c>
      <c r="U24" s="9" t="str">
        <f aca="false">IF(Q24="Aprobada",TRIM(IF(NOT(OR(L24="",COUNTIF($F$2:$F$26,L24)=0,COUNTIFS($F$2:$F$26,L24,$Q$2:$Q$26,"Aprobada")&gt;0)),L24&amp;" ","")&amp;IF(NOT(OR(M24="",COUNTIF($F$2:$F$26,M24)=0,COUNTIFS($F$2:$F$26,M24,$Q$2:$Q$26,"Aprobada")&gt;0)),M24&amp;" ","")&amp;IF(NOT(OR(N24="",COUNTIF($F$2:$F$26,N24)=0,COUNTIFS($F$2:$F$26,N24,$Q$2:$Q$26,"Aprobada")&gt;0)),N24&amp;" ","")&amp;IF(NOT(OR(O24="",COUNTIF($F$2:$F$26,O24)=0,COUNTIFS($F$2:$F$26,O24,$Q$2:$Q$26,"Aprobada")&gt;0)),O24&amp;" ","")&amp;IF(NOT(OR(P24="",COUNTIF($F$2:$F$26,P24)=0,COUNTIFS($F$2:$F$26,P24,$Q$2:$Q$26,"Aprobada")&gt;0)),P24&amp;" ","")),IF(Q24="Cursada aprobada",TRIM(IF(NOT(OR(L24="",COUNTIF($F$2:$F$26,L24)=0,COUNTIFS($F$2:$F$26,L24,$Q$2:$Q$26,"Aprobada")&gt;0,AND(Resumen!$B$15="La cursada aprobada",COUNTIFS($F$2:$F$26,L24,$Q$2:$Q$26,"Cursada aprobada")&gt;0))),L24&amp;" ","")&amp;IF(NOT(OR(M24="",COUNTIF($F$2:$F$26,M24)=0,COUNTIFS($F$2:$F$26,M24,$Q$2:$Q$26,"Aprobada")&gt;0,AND(Resumen!$B$15="La cursada aprobada",COUNTIFS($F$2:$F$26,M24,$Q$2:$Q$26,"Cursada aprobada")&gt;0))),M24&amp;" ","")&amp;IF(NOT(OR(N24="",COUNTIF($F$2:$F$26,N24)=0,COUNTIFS($F$2:$F$26,N24,$Q$2:$Q$26,"Aprobada")&gt;0,AND(Resumen!$B$15="La cursada aprobada",COUNTIFS($F$2:$F$26,N24,$Q$2:$Q$26,"Cursada aprobada")&gt;0))),N24&amp;" ","")&amp;IF(NOT(OR(O24="",COUNTIF($F$2:$F$26,O24)=0,COUNTIFS($F$2:$F$26,O24,$Q$2:$Q$26,"Aprobada")&gt;0,AND(Resumen!$B$15="La cursada aprobada",COUNTIFS($F$2:$F$26,O24,$Q$2:$Q$26,"Cursada aprobada")&gt;0))),O24&amp;" ","")&amp;IF(NOT(OR(P24="",COUNTIF($F$2:$F$26,P24)=0,COUNTIFS($F$2:$F$26,P24,$Q$2:$Q$26,"Aprobada")&gt;0,AND(Resumen!$B$15="La cursada aprobada",COUNTIFS($F$2:$F$26,P24,$Q$2:$Q$26,"Cursada aprobada")&gt;0))),P24&amp;" ","")),""))</f>
        <v/>
      </c>
    </row>
    <row r="25" customFormat="false" ht="15" hidden="false" customHeight="false" outlineLevel="0" collapsed="false">
      <c r="A25" s="8" t="s">
        <v>116</v>
      </c>
      <c r="B25" s="8"/>
      <c r="C25" s="9"/>
      <c r="D25" s="9"/>
      <c r="E25" s="9" t="s">
        <v>122</v>
      </c>
      <c r="F25" s="9" t="n">
        <v>282</v>
      </c>
      <c r="G25" s="8" t="s">
        <v>268</v>
      </c>
      <c r="H25" s="9"/>
      <c r="I25" s="9" t="n">
        <v>2</v>
      </c>
      <c r="J25" s="9"/>
      <c r="K25" s="9" t="n">
        <v>32</v>
      </c>
      <c r="L25" s="9" t="n">
        <v>300</v>
      </c>
      <c r="M25" s="9"/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cursada",IF(AND(OR(L25="",COUNTIF($F$2:$F$26,L25)=0,COUNTIFS($F$2:$F$26,L25,$Q$2:$Q$26,"Aprobada")&gt;0,AND(Resumen!$B$15="La cursada aprobada",COUNTIFS($F$2:$F$26,L25,$Q$2:$Q$26,"Cursada aprobada")&gt;0)),OR(M25="",COUNTIF($F$2:$F$26,M25)=0,COUNTIFS($F$2:$F$26,M25,$Q$2:$Q$26,"Aprobada")&gt;0,AND(Resumen!$B$15="La cursada aprobada",COUNTIFS($F$2:$F$26,M25,$Q$2:$Q$26,"Cursada aprobada")&gt;0)),OR(N25="",COUNTIF($F$2:$F$26,N25)=0,COUNTIFS($F$2:$F$26,N25,$Q$2:$Q$26,"Aprobada")&gt;0,AND(Resumen!$B$15="La cursada aprobada",COUNTIFS($F$2:$F$26,N25,$Q$2:$Q$26,"Cursada aprobada")&gt;0)),OR(O25="",COUNTIF($F$2:$F$26,O25)=0,COUNTIFS($F$2:$F$26,O25,$Q$2:$Q$26,"Aprobada")&gt;0,AND(Resumen!$B$15="La cursada aprobada",COUNTIFS($F$2:$F$26,O25,$Q$2:$Q$26,"Cursada aprobada")&gt;0)),OR(P25="",COUNTIF($F$2:$F$26,P25)=0,COUNTIFS($F$2:$F$26,P25,$Q$2:$Q$26,"Aprobada")&gt;0,AND(Resumen!$B$15="La cursada aprobada",COUNTIFS($F$2:$F$26,P25,$Q$2:$Q$26,"Cursada aprobada")&gt;0))),"Sí","No")))</f>
        <v>No</v>
      </c>
      <c r="S25" s="8" t="str">
        <f aca="false">TRIM(IF(NOT(OR(L25="",COUNTIF($F$2:$F$26,L25)=0,COUNTIFS($F$2:$F$26,L25,$Q$2:$Q$26,"Aprobada")&gt;0,AND(Resumen!$B$15="La cursada aprobada",COUNTIFS($F$2:$F$26,L25,$Q$2:$Q$26,"Cursada aprobada")&gt;0))),L25&amp;" ","")&amp;IF(NOT(OR(M25="",COUNTIF($F$2:$F$26,M25)=0,COUNTIFS($F$2:$F$26,M25,$Q$2:$Q$26,"Aprobada")&gt;0,AND(Resumen!$B$15="La cursada aprobada",COUNTIFS($F$2:$F$26,M25,$Q$2:$Q$26,"Cursada aprobada")&gt;0))),M25&amp;" ","")&amp;IF(NOT(OR(N25="",COUNTIF($F$2:$F$26,N25)=0,COUNTIFS($F$2:$F$26,N25,$Q$2:$Q$26,"Aprobada")&gt;0,AND(Resumen!$B$15="La cursada aprobada",COUNTIFS($F$2:$F$26,N25,$Q$2:$Q$26,"Cursada aprobada")&gt;0))),N25&amp;" ","")&amp;IF(NOT(OR(O25="",COUNTIF($F$2:$F$26,O25)=0,COUNTIFS($F$2:$F$26,O25,$Q$2:$Q$26,"Aprobada")&gt;0,AND(Resumen!$B$15="La cursada aprobada",COUNTIFS($F$2:$F$26,O25,$Q$2:$Q$26,"Cursada aprobada")&gt;0))),O25&amp;" ","")&amp;IF(NOT(OR(P25="",COUNTIF($F$2:$F$26,P25)=0,COUNTIFS($F$2:$F$26,P25,$Q$2:$Q$26,"Aprobada")&gt;0,AND(Resumen!$B$15="La cursada aprobada",COUNTIFS($F$2:$F$26,P25,$Q$2:$Q$26,"Cursada aprobada")&gt;0))),P25&amp;" ",""))</f>
        <v>300</v>
      </c>
      <c r="T25" s="9" t="str">
        <f aca="false">IF(Q25="Cursada aprobada",IF(AND(OR(L25="",COUNTIF($F$2:$F$26,L25)=0,COUNTIFS($F$2:$F$26,L25,$Q$2:$Q$26,"Aprobada")&gt;0),OR(M25="",COUNTIF($F$2:$F$26,M25)=0,COUNTIFS($F$2:$F$26,M25,$Q$2:$Q$26,"Aprobada")&gt;0),OR(N25="",COUNTIF($F$2:$F$26,N25)=0,COUNTIFS($F$2:$F$26,N25,$Q$2:$Q$26,"Aprobada")&gt;0),OR(O25="",COUNTIF($F$2:$F$26,O25)=0,COUNTIFS($F$2:$F$26,O25,$Q$2:$Q$26,"Aprobada")&gt;0),OR(P25="",COUNTIF($F$2:$F$26,P25)=0,COUNTIFS($F$2:$F$26,P25,$Q$2:$Q$26,"Aprobada")&gt;0)),"Sí","No"),"")</f>
        <v/>
      </c>
      <c r="U25" s="9" t="str">
        <f aca="false">IF(Q25="Aprobada",TRIM(IF(NOT(OR(L25="",COUNTIF($F$2:$F$26,L25)=0,COUNTIFS($F$2:$F$26,L25,$Q$2:$Q$26,"Aprobada")&gt;0)),L25&amp;" ","")&amp;IF(NOT(OR(M25="",COUNTIF($F$2:$F$26,M25)=0,COUNTIFS($F$2:$F$26,M25,$Q$2:$Q$26,"Aprobada")&gt;0)),M25&amp;" ","")&amp;IF(NOT(OR(N25="",COUNTIF($F$2:$F$26,N25)=0,COUNTIFS($F$2:$F$26,N25,$Q$2:$Q$26,"Aprobada")&gt;0)),N25&amp;" ","")&amp;IF(NOT(OR(O25="",COUNTIF($F$2:$F$26,O25)=0,COUNTIFS($F$2:$F$26,O25,$Q$2:$Q$26,"Aprobada")&gt;0)),O25&amp;" ","")&amp;IF(NOT(OR(P25="",COUNTIF($F$2:$F$26,P25)=0,COUNTIFS($F$2:$F$26,P25,$Q$2:$Q$26,"Aprobada")&gt;0)),P25&amp;" ","")),IF(Q25="Cursada aprobada",TRIM(IF(NOT(OR(L25="",COUNTIF($F$2:$F$26,L25)=0,COUNTIFS($F$2:$F$26,L25,$Q$2:$Q$26,"Aprobada")&gt;0,AND(Resumen!$B$15="La cursada aprobada",COUNTIFS($F$2:$F$26,L25,$Q$2:$Q$26,"Cursada aprobada")&gt;0))),L25&amp;" ","")&amp;IF(NOT(OR(M25="",COUNTIF($F$2:$F$26,M25)=0,COUNTIFS($F$2:$F$26,M25,$Q$2:$Q$26,"Aprobada")&gt;0,AND(Resumen!$B$15="La cursada aprobada",COUNTIFS($F$2:$F$26,M25,$Q$2:$Q$26,"Cursada aprobada")&gt;0))),M25&amp;" ","")&amp;IF(NOT(OR(N25="",COUNTIF($F$2:$F$26,N25)=0,COUNTIFS($F$2:$F$26,N25,$Q$2:$Q$26,"Aprobada")&gt;0,AND(Resumen!$B$15="La cursada aprobada",COUNTIFS($F$2:$F$26,N25,$Q$2:$Q$26,"Cursada aprobada")&gt;0))),N25&amp;" ","")&amp;IF(NOT(OR(O25="",COUNTIF($F$2:$F$26,O25)=0,COUNTIFS($F$2:$F$26,O25,$Q$2:$Q$26,"Aprobada")&gt;0,AND(Resumen!$B$15="La cursada aprobada",COUNTIFS($F$2:$F$26,O25,$Q$2:$Q$26,"Cursada aprobada")&gt;0))),O25&amp;" ","")&amp;IF(NOT(OR(P25="",COUNTIF($F$2:$F$26,P25)=0,COUNTIFS($F$2:$F$26,P25,$Q$2:$Q$26,"Aprobada")&gt;0,AND(Resumen!$B$15="La cursada aprobada",COUNTIFS($F$2:$F$26,P25,$Q$2:$Q$26,"Cursada aprobada")&gt;0))),P25&amp;" ","")),""))</f>
        <v/>
      </c>
    </row>
    <row r="26" customFormat="false" ht="15" hidden="false" customHeight="false" outlineLevel="0" collapsed="false">
      <c r="A26" s="8" t="s">
        <v>116</v>
      </c>
      <c r="B26" s="8"/>
      <c r="C26" s="9"/>
      <c r="D26" s="9"/>
      <c r="E26" s="9" t="s">
        <v>122</v>
      </c>
      <c r="F26" s="9" t="n">
        <v>361</v>
      </c>
      <c r="G26" s="8" t="s">
        <v>123</v>
      </c>
      <c r="H26" s="9"/>
      <c r="I26" s="9"/>
      <c r="J26" s="9"/>
      <c r="K26" s="9" t="n">
        <v>50</v>
      </c>
      <c r="L26" s="9"/>
      <c r="M26" s="9"/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cursada",IF(AND(OR(L26="",COUNTIF($F$2:$F$26,L26)=0,COUNTIFS($F$2:$F$26,L26,$Q$2:$Q$26,"Aprobada")&gt;0,AND(Resumen!$B$15="La cursada aprobada",COUNTIFS($F$2:$F$26,L26,$Q$2:$Q$26,"Cursada aprobada")&gt;0)),OR(M26="",COUNTIF($F$2:$F$26,M26)=0,COUNTIFS($F$2:$F$26,M26,$Q$2:$Q$26,"Aprobada")&gt;0,AND(Resumen!$B$15="La cursada aprobada",COUNTIFS($F$2:$F$26,M26,$Q$2:$Q$26,"Cursada aprobada")&gt;0)),OR(N26="",COUNTIF($F$2:$F$26,N26)=0,COUNTIFS($F$2:$F$26,N26,$Q$2:$Q$26,"Aprobada")&gt;0,AND(Resumen!$B$15="La cursada aprobada",COUNTIFS($F$2:$F$26,N26,$Q$2:$Q$26,"Cursada aprobada")&gt;0)),OR(O26="",COUNTIF($F$2:$F$26,O26)=0,COUNTIFS($F$2:$F$26,O26,$Q$2:$Q$26,"Aprobada")&gt;0,AND(Resumen!$B$15="La cursada aprobada",COUNTIFS($F$2:$F$26,O26,$Q$2:$Q$26,"Cursada aprobada")&gt;0)),OR(P26="",COUNTIF($F$2:$F$26,P26)=0,COUNTIFS($F$2:$F$26,P26,$Q$2:$Q$26,"Aprobada")&gt;0,AND(Resumen!$B$15="La cursada aprobada",COUNTIFS($F$2:$F$26,P26,$Q$2:$Q$26,"Cursada aprobada")&gt;0))),"Sí","No")))</f>
        <v>Sí</v>
      </c>
      <c r="S26" s="8" t="str">
        <f aca="false">TRIM(IF(NOT(OR(L26="",COUNTIF($F$2:$F$26,L26)=0,COUNTIFS($F$2:$F$26,L26,$Q$2:$Q$26,"Aprobada")&gt;0,AND(Resumen!$B$15="La cursada aprobada",COUNTIFS($F$2:$F$26,L26,$Q$2:$Q$26,"Cursada aprobada")&gt;0))),L26&amp;" ","")&amp;IF(NOT(OR(M26="",COUNTIF($F$2:$F$26,M26)=0,COUNTIFS($F$2:$F$26,M26,$Q$2:$Q$26,"Aprobada")&gt;0,AND(Resumen!$B$15="La cursada aprobada",COUNTIFS($F$2:$F$26,M26,$Q$2:$Q$26,"Cursada aprobada")&gt;0))),M26&amp;" ","")&amp;IF(NOT(OR(N26="",COUNTIF($F$2:$F$26,N26)=0,COUNTIFS($F$2:$F$26,N26,$Q$2:$Q$26,"Aprobada")&gt;0,AND(Resumen!$B$15="La cursada aprobada",COUNTIFS($F$2:$F$26,N26,$Q$2:$Q$26,"Cursada aprobada")&gt;0))),N26&amp;" ","")&amp;IF(NOT(OR(O26="",COUNTIF($F$2:$F$26,O26)=0,COUNTIFS($F$2:$F$26,O26,$Q$2:$Q$26,"Aprobada")&gt;0,AND(Resumen!$B$15="La cursada aprobada",COUNTIFS($F$2:$F$26,O26,$Q$2:$Q$26,"Cursada aprobada")&gt;0))),O26&amp;" ","")&amp;IF(NOT(OR(P26="",COUNTIF($F$2:$F$26,P26)=0,COUNTIFS($F$2:$F$26,P26,$Q$2:$Q$26,"Aprobada")&gt;0,AND(Resumen!$B$15="La cursada aprobada",COUNTIFS($F$2:$F$26,P26,$Q$2:$Q$26,"Cursada aprobada")&gt;0))),P26&amp;" ",""))</f>
        <v/>
      </c>
      <c r="T26" s="9" t="str">
        <f aca="false">IF(Q26="Cursada aprobada",IF(AND(OR(L26="",COUNTIF($F$2:$F$26,L26)=0,COUNTIFS($F$2:$F$26,L26,$Q$2:$Q$26,"Aprobada")&gt;0),OR(M26="",COUNTIF($F$2:$F$26,M26)=0,COUNTIFS($F$2:$F$26,M26,$Q$2:$Q$26,"Aprobada")&gt;0),OR(N26="",COUNTIF($F$2:$F$26,N26)=0,COUNTIFS($F$2:$F$26,N26,$Q$2:$Q$26,"Aprobada")&gt;0),OR(O26="",COUNTIF($F$2:$F$26,O26)=0,COUNTIFS($F$2:$F$26,O26,$Q$2:$Q$26,"Aprobada")&gt;0),OR(P26="",COUNTIF($F$2:$F$26,P26)=0,COUNTIFS($F$2:$F$26,P26,$Q$2:$Q$26,"Aprobada")&gt;0)),"Sí","No"),"")</f>
        <v/>
      </c>
      <c r="U26" s="9" t="str">
        <f aca="false">IF(Q26="Aprobada",TRIM(IF(NOT(OR(L26="",COUNTIF($F$2:$F$26,L26)=0,COUNTIFS($F$2:$F$26,L26,$Q$2:$Q$26,"Aprobada")&gt;0)),L26&amp;" ","")&amp;IF(NOT(OR(M26="",COUNTIF($F$2:$F$26,M26)=0,COUNTIFS($F$2:$F$26,M26,$Q$2:$Q$26,"Aprobada")&gt;0)),M26&amp;" ","")&amp;IF(NOT(OR(N26="",COUNTIF($F$2:$F$26,N26)=0,COUNTIFS($F$2:$F$26,N26,$Q$2:$Q$26,"Aprobada")&gt;0)),N26&amp;" ","")&amp;IF(NOT(OR(O26="",COUNTIF($F$2:$F$26,O26)=0,COUNTIFS($F$2:$F$26,O26,$Q$2:$Q$26,"Aprobada")&gt;0)),O26&amp;" ","")&amp;IF(NOT(OR(P26="",COUNTIF($F$2:$F$26,P26)=0,COUNTIFS($F$2:$F$26,P26,$Q$2:$Q$26,"Aprobada")&gt;0)),P26&amp;" ","")),IF(Q26="Cursada aprobada",TRIM(IF(NOT(OR(L26="",COUNTIF($F$2:$F$26,L26)=0,COUNTIFS($F$2:$F$26,L26,$Q$2:$Q$26,"Aprobada")&gt;0,AND(Resumen!$B$15="La cursada aprobada",COUNTIFS($F$2:$F$26,L26,$Q$2:$Q$26,"Cursada aprobada")&gt;0))),L26&amp;" ","")&amp;IF(NOT(OR(M26="",COUNTIF($F$2:$F$26,M26)=0,COUNTIFS($F$2:$F$26,M26,$Q$2:$Q$26,"Aprobada")&gt;0,AND(Resumen!$B$15="La cursada aprobada",COUNTIFS($F$2:$F$26,M26,$Q$2:$Q$26,"Cursada aprobada")&gt;0))),M26&amp;" ","")&amp;IF(NOT(OR(N26="",COUNTIF($F$2:$F$26,N26)=0,COUNTIFS($F$2:$F$26,N26,$Q$2:$Q$26,"Aprobada")&gt;0,AND(Resumen!$B$15="La cursada aprobada",COUNTIFS($F$2:$F$26,N26,$Q$2:$Q$26,"Cursada aprobada")&gt;0))),N26&amp;" ","")&amp;IF(NOT(OR(O26="",COUNTIF($F$2:$F$26,O26)=0,COUNTIFS($F$2:$F$26,O26,$Q$2:$Q$26,"Aprobada")&gt;0,AND(Resumen!$B$15="La cursada aprobada",COUNTIFS($F$2:$F$26,O26,$Q$2:$Q$26,"Cursada aprobada")&gt;0))),O26&amp;" ","")&amp;IF(NOT(OR(P26="",COUNTIF($F$2:$F$26,P26)=0,COUNTIFS($F$2:$F$26,P26,$Q$2:$Q$26,"Aprobada")&gt;0,AND(Resumen!$B$15="La cursada aprobada",COUNTIFS($F$2:$F$26,P26,$Q$2:$Q$26,"Cursada aprobada")&gt;0))),P26&amp;" ","")),""))</f>
        <v/>
      </c>
    </row>
  </sheetData>
  <autoFilter ref="A1:U26"/>
  <conditionalFormatting sqref="Q2:Q2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26">
    <cfRule type="expression" priority="4" aboveAverage="0" equalAverage="0" bottom="0" percent="0" rank="0" text="" dxfId="10">
      <formula>LEN($U2)&gt;0</formula>
    </cfRule>
  </conditionalFormatting>
  <conditionalFormatting sqref="T2:T2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2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2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236</v>
      </c>
      <c r="B2" s="8"/>
      <c r="C2" s="9" t="n">
        <v>1</v>
      </c>
      <c r="D2" s="9"/>
      <c r="E2" s="9" t="s">
        <v>99</v>
      </c>
      <c r="F2" s="9" t="n">
        <v>291</v>
      </c>
      <c r="G2" s="8" t="s">
        <v>237</v>
      </c>
      <c r="H2" s="9" t="s">
        <v>92</v>
      </c>
      <c r="I2" s="9" t="n">
        <v>1</v>
      </c>
      <c r="J2" s="9"/>
      <c r="K2" s="9" t="n">
        <v>16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cursada",IF(AND(OR(L2="",COUNTIF($F$2:$F$26,L2)=0,COUNTIFS($F$2:$F$26,L2,$Q$2:$Q$26,"Aprobada")&gt;0,AND(Resumen!$B$15="La cursada aprobada",COUNTIFS($F$2:$F$26,L2,$Q$2:$Q$26,"Cursada aprobada")&gt;0)),OR(M2="",COUNTIF($F$2:$F$26,M2)=0,COUNTIFS($F$2:$F$26,M2,$Q$2:$Q$26,"Aprobada")&gt;0,AND(Resumen!$B$15="La cursada aprobada",COUNTIFS($F$2:$F$26,M2,$Q$2:$Q$26,"Cursada aprobada")&gt;0)),OR(N2="",COUNTIF($F$2:$F$26,N2)=0,COUNTIFS($F$2:$F$26,N2,$Q$2:$Q$26,"Aprobada")&gt;0,AND(Resumen!$B$15="La cursada aprobada",COUNTIFS($F$2:$F$26,N2,$Q$2:$Q$26,"Cursada aprobada")&gt;0)),OR(O2="",COUNTIF($F$2:$F$26,O2)=0,COUNTIFS($F$2:$F$26,O2,$Q$2:$Q$26,"Aprobada")&gt;0,AND(Resumen!$B$15="La cursada aprobada",COUNTIFS($F$2:$F$26,O2,$Q$2:$Q$26,"Cursada aprobada")&gt;0)),OR(P2="",COUNTIF($F$2:$F$26,P2)=0,COUNTIFS($F$2:$F$26,P2,$Q$2:$Q$26,"Aprobada")&gt;0,AND(Resumen!$B$15="La cursada aprobada",COUNTIFS($F$2:$F$26,P2,$Q$2:$Q$26,"Cursada aprobada")&gt;0))),"Sí","No")))</f>
        <v>Sí</v>
      </c>
      <c r="S2" s="8" t="str">
        <f aca="false">TRIM(IF(NOT(OR(L2="",COUNTIF($F$2:$F$26,L2)=0,COUNTIFS($F$2:$F$26,L2,$Q$2:$Q$26,"Aprobada")&gt;0,AND(Resumen!$B$15="La cursada aprobada",COUNTIFS($F$2:$F$26,L2,$Q$2:$Q$26,"Cursada aprobada")&gt;0))),L2&amp;" ","")&amp;IF(NOT(OR(M2="",COUNTIF($F$2:$F$26,M2)=0,COUNTIFS($F$2:$F$26,M2,$Q$2:$Q$26,"Aprobada")&gt;0,AND(Resumen!$B$15="La cursada aprobada",COUNTIFS($F$2:$F$26,M2,$Q$2:$Q$26,"Cursada aprobada")&gt;0))),M2&amp;" ","")&amp;IF(NOT(OR(N2="",COUNTIF($F$2:$F$26,N2)=0,COUNTIFS($F$2:$F$26,N2,$Q$2:$Q$26,"Aprobada")&gt;0,AND(Resumen!$B$15="La cursada aprobada",COUNTIFS($F$2:$F$26,N2,$Q$2:$Q$26,"Cursada aprobada")&gt;0))),N2&amp;" ","")&amp;IF(NOT(OR(O2="",COUNTIF($F$2:$F$26,O2)=0,COUNTIFS($F$2:$F$26,O2,$Q$2:$Q$26,"Aprobada")&gt;0,AND(Resumen!$B$15="La cursada aprobada",COUNTIFS($F$2:$F$26,O2,$Q$2:$Q$26,"Cursada aprobada")&gt;0))),O2&amp;" ","")&amp;IF(NOT(OR(P2="",COUNTIF($F$2:$F$26,P2)=0,COUNTIFS($F$2:$F$26,P2,$Q$2:$Q$26,"Aprobada")&gt;0,AND(Resumen!$B$15="La cursada aprobada",COUNTIFS($F$2:$F$26,P2,$Q$2:$Q$26,"Cursada aprobada")&gt;0))),P2&amp;" ",""))</f>
        <v/>
      </c>
      <c r="T2" s="9" t="str">
        <f aca="false">IF(Q2="Cursada aprobada",IF(AND(OR(L2="",COUNTIF($F$2:$F$26,L2)=0,COUNTIFS($F$2:$F$26,L2,$Q$2:$Q$26,"Aprobada")&gt;0),OR(M2="",COUNTIF($F$2:$F$26,M2)=0,COUNTIFS($F$2:$F$26,M2,$Q$2:$Q$26,"Aprobada")&gt;0),OR(N2="",COUNTIF($F$2:$F$26,N2)=0,COUNTIFS($F$2:$F$26,N2,$Q$2:$Q$26,"Aprobada")&gt;0),OR(O2="",COUNTIF($F$2:$F$26,O2)=0,COUNTIFS($F$2:$F$26,O2,$Q$2:$Q$26,"Aprobada")&gt;0),OR(P2="",COUNTIF($F$2:$F$26,P2)=0,COUNTIFS($F$2:$F$26,P2,$Q$2:$Q$26,"Aprobada")&gt;0)),"Sí","No"),"")</f>
        <v/>
      </c>
      <c r="U2" s="9" t="str">
        <f aca="false">IF(Q2="Aprobada",TRIM(IF(NOT(OR(L2="",COUNTIF($F$2:$F$26,L2)=0,COUNTIFS($F$2:$F$26,L2,$Q$2:$Q$26,"Aprobada")&gt;0)),L2&amp;" ","")&amp;IF(NOT(OR(M2="",COUNTIF($F$2:$F$26,M2)=0,COUNTIFS($F$2:$F$26,M2,$Q$2:$Q$26,"Aprobada")&gt;0)),M2&amp;" ","")&amp;IF(NOT(OR(N2="",COUNTIF($F$2:$F$26,N2)=0,COUNTIFS($F$2:$F$26,N2,$Q$2:$Q$26,"Aprobada")&gt;0)),N2&amp;" ","")&amp;IF(NOT(OR(O2="",COUNTIF($F$2:$F$26,O2)=0,COUNTIFS($F$2:$F$26,O2,$Q$2:$Q$26,"Aprobada")&gt;0)),O2&amp;" ","")&amp;IF(NOT(OR(P2="",COUNTIF($F$2:$F$26,P2)=0,COUNTIFS($F$2:$F$26,P2,$Q$2:$Q$26,"Aprobada")&gt;0)),P2&amp;" ","")),IF(Q2="Cursada aprobada",TRIM(IF(NOT(OR(L2="",COUNTIF($F$2:$F$26,L2)=0,COUNTIFS($F$2:$F$26,L2,$Q$2:$Q$26,"Aprobada")&gt;0,AND(Resumen!$B$15="La cursada aprobada",COUNTIFS($F$2:$F$26,L2,$Q$2:$Q$26,"Cursada aprobada")&gt;0))),L2&amp;" ","")&amp;IF(NOT(OR(M2="",COUNTIF($F$2:$F$26,M2)=0,COUNTIFS($F$2:$F$26,M2,$Q$2:$Q$26,"Aprobada")&gt;0,AND(Resumen!$B$15="La cursada aprobada",COUNTIFS($F$2:$F$26,M2,$Q$2:$Q$26,"Cursada aprobada")&gt;0))),M2&amp;" ","")&amp;IF(NOT(OR(N2="",COUNTIF($F$2:$F$26,N2)=0,COUNTIFS($F$2:$F$26,N2,$Q$2:$Q$26,"Aprobada")&gt;0,AND(Resumen!$B$15="La cursada aprobada",COUNTIFS($F$2:$F$26,N2,$Q$2:$Q$26,"Cursada aprobada")&gt;0))),N2&amp;" ","")&amp;IF(NOT(OR(O2="",COUNTIF($F$2:$F$26,O2)=0,COUNTIFS($F$2:$F$26,O2,$Q$2:$Q$26,"Aprobada")&gt;0,AND(Resumen!$B$15="La cursada aprobada",COUNTIFS($F$2:$F$26,O2,$Q$2:$Q$26,"Cursada aprobada")&gt;0))),O2&amp;" ","")&amp;IF(NOT(OR(P2="",COUNTIF($F$2:$F$26,P2)=0,COUNTIFS($F$2:$F$26,P2,$Q$2:$Q$26,"Aprobada")&gt;0,AND(Resumen!$B$15="La cursada aprobada",COUNTIFS($F$2:$F$26,P2,$Q$2:$Q$26,"Cursada aprobada")&gt;0))),P2&amp;" ","")),""))</f>
        <v/>
      </c>
    </row>
    <row r="3" customFormat="false" ht="15" hidden="false" customHeight="false" outlineLevel="0" collapsed="false">
      <c r="A3" s="8" t="s">
        <v>236</v>
      </c>
      <c r="B3" s="8"/>
      <c r="C3" s="9" t="n">
        <v>1</v>
      </c>
      <c r="D3" s="9"/>
      <c r="E3" s="9" t="s">
        <v>99</v>
      </c>
      <c r="F3" s="9" t="n">
        <v>292</v>
      </c>
      <c r="G3" s="8" t="s">
        <v>238</v>
      </c>
      <c r="H3" s="9" t="s">
        <v>92</v>
      </c>
      <c r="I3" s="9" t="n">
        <v>4</v>
      </c>
      <c r="J3" s="9"/>
      <c r="K3" s="9" t="n">
        <v>64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cursada",IF(AND(OR(L3="",COUNTIF($F$2:$F$26,L3)=0,COUNTIFS($F$2:$F$26,L3,$Q$2:$Q$26,"Aprobada")&gt;0,AND(Resumen!$B$15="La cursada aprobada",COUNTIFS($F$2:$F$26,L3,$Q$2:$Q$26,"Cursada aprobada")&gt;0)),OR(M3="",COUNTIF($F$2:$F$26,M3)=0,COUNTIFS($F$2:$F$26,M3,$Q$2:$Q$26,"Aprobada")&gt;0,AND(Resumen!$B$15="La cursada aprobada",COUNTIFS($F$2:$F$26,M3,$Q$2:$Q$26,"Cursada aprobada")&gt;0)),OR(N3="",COUNTIF($F$2:$F$26,N3)=0,COUNTIFS($F$2:$F$26,N3,$Q$2:$Q$26,"Aprobada")&gt;0,AND(Resumen!$B$15="La cursada aprobada",COUNTIFS($F$2:$F$26,N3,$Q$2:$Q$26,"Cursada aprobada")&gt;0)),OR(O3="",COUNTIF($F$2:$F$26,O3)=0,COUNTIFS($F$2:$F$26,O3,$Q$2:$Q$26,"Aprobada")&gt;0,AND(Resumen!$B$15="La cursada aprobada",COUNTIFS($F$2:$F$26,O3,$Q$2:$Q$26,"Cursada aprobada")&gt;0)),OR(P3="",COUNTIF($F$2:$F$26,P3)=0,COUNTIFS($F$2:$F$26,P3,$Q$2:$Q$26,"Aprobada")&gt;0,AND(Resumen!$B$15="La cursada aprobada",COUNTIFS($F$2:$F$26,P3,$Q$2:$Q$26,"Cursada aprobada")&gt;0))),"Sí","No")))</f>
        <v>Sí</v>
      </c>
      <c r="S3" s="8" t="str">
        <f aca="false">TRIM(IF(NOT(OR(L3="",COUNTIF($F$2:$F$26,L3)=0,COUNTIFS($F$2:$F$26,L3,$Q$2:$Q$26,"Aprobada")&gt;0,AND(Resumen!$B$15="La cursada aprobada",COUNTIFS($F$2:$F$26,L3,$Q$2:$Q$26,"Cursada aprobada")&gt;0))),L3&amp;" ","")&amp;IF(NOT(OR(M3="",COUNTIF($F$2:$F$26,M3)=0,COUNTIFS($F$2:$F$26,M3,$Q$2:$Q$26,"Aprobada")&gt;0,AND(Resumen!$B$15="La cursada aprobada",COUNTIFS($F$2:$F$26,M3,$Q$2:$Q$26,"Cursada aprobada")&gt;0))),M3&amp;" ","")&amp;IF(NOT(OR(N3="",COUNTIF($F$2:$F$26,N3)=0,COUNTIFS($F$2:$F$26,N3,$Q$2:$Q$26,"Aprobada")&gt;0,AND(Resumen!$B$15="La cursada aprobada",COUNTIFS($F$2:$F$26,N3,$Q$2:$Q$26,"Cursada aprobada")&gt;0))),N3&amp;" ","")&amp;IF(NOT(OR(O3="",COUNTIF($F$2:$F$26,O3)=0,COUNTIFS($F$2:$F$26,O3,$Q$2:$Q$26,"Aprobada")&gt;0,AND(Resumen!$B$15="La cursada aprobada",COUNTIFS($F$2:$F$26,O3,$Q$2:$Q$26,"Cursada aprobada")&gt;0))),O3&amp;" ","")&amp;IF(NOT(OR(P3="",COUNTIF($F$2:$F$26,P3)=0,COUNTIFS($F$2:$F$26,P3,$Q$2:$Q$26,"Aprobada")&gt;0,AND(Resumen!$B$15="La cursada aprobada",COUNTIFS($F$2:$F$26,P3,$Q$2:$Q$26,"Cursada aprobada")&gt;0))),P3&amp;" ",""))</f>
        <v/>
      </c>
      <c r="T3" s="9" t="str">
        <f aca="false">IF(Q3="Cursada aprobada",IF(AND(OR(L3="",COUNTIF($F$2:$F$26,L3)=0,COUNTIFS($F$2:$F$26,L3,$Q$2:$Q$26,"Aprobada")&gt;0),OR(M3="",COUNTIF($F$2:$F$26,M3)=0,COUNTIFS($F$2:$F$26,M3,$Q$2:$Q$26,"Aprobada")&gt;0),OR(N3="",COUNTIF($F$2:$F$26,N3)=0,COUNTIFS($F$2:$F$26,N3,$Q$2:$Q$26,"Aprobada")&gt;0),OR(O3="",COUNTIF($F$2:$F$26,O3)=0,COUNTIFS($F$2:$F$26,O3,$Q$2:$Q$26,"Aprobada")&gt;0),OR(P3="",COUNTIF($F$2:$F$26,P3)=0,COUNTIFS($F$2:$F$26,P3,$Q$2:$Q$26,"Aprobada")&gt;0)),"Sí","No"),"")</f>
        <v/>
      </c>
      <c r="U3" s="9" t="str">
        <f aca="false">IF(Q3="Aprobada",TRIM(IF(NOT(OR(L3="",COUNTIF($F$2:$F$26,L3)=0,COUNTIFS($F$2:$F$26,L3,$Q$2:$Q$26,"Aprobada")&gt;0)),L3&amp;" ","")&amp;IF(NOT(OR(M3="",COUNTIF($F$2:$F$26,M3)=0,COUNTIFS($F$2:$F$26,M3,$Q$2:$Q$26,"Aprobada")&gt;0)),M3&amp;" ","")&amp;IF(NOT(OR(N3="",COUNTIF($F$2:$F$26,N3)=0,COUNTIFS($F$2:$F$26,N3,$Q$2:$Q$26,"Aprobada")&gt;0)),N3&amp;" ","")&amp;IF(NOT(OR(O3="",COUNTIF($F$2:$F$26,O3)=0,COUNTIFS($F$2:$F$26,O3,$Q$2:$Q$26,"Aprobada")&gt;0)),O3&amp;" ","")&amp;IF(NOT(OR(P3="",COUNTIF($F$2:$F$26,P3)=0,COUNTIFS($F$2:$F$26,P3,$Q$2:$Q$26,"Aprobada")&gt;0)),P3&amp;" ","")),IF(Q3="Cursada aprobada",TRIM(IF(NOT(OR(L3="",COUNTIF($F$2:$F$26,L3)=0,COUNTIFS($F$2:$F$26,L3,$Q$2:$Q$26,"Aprobada")&gt;0,AND(Resumen!$B$15="La cursada aprobada",COUNTIFS($F$2:$F$26,L3,$Q$2:$Q$26,"Cursada aprobada")&gt;0))),L3&amp;" ","")&amp;IF(NOT(OR(M3="",COUNTIF($F$2:$F$26,M3)=0,COUNTIFS($F$2:$F$26,M3,$Q$2:$Q$26,"Aprobada")&gt;0,AND(Resumen!$B$15="La cursada aprobada",COUNTIFS($F$2:$F$26,M3,$Q$2:$Q$26,"Cursada aprobada")&gt;0))),M3&amp;" ","")&amp;IF(NOT(OR(N3="",COUNTIF($F$2:$F$26,N3)=0,COUNTIFS($F$2:$F$26,N3,$Q$2:$Q$26,"Aprobada")&gt;0,AND(Resumen!$B$15="La cursada aprobada",COUNTIFS($F$2:$F$26,N3,$Q$2:$Q$26,"Cursada aprobada")&gt;0))),N3&amp;" ","")&amp;IF(NOT(OR(O3="",COUNTIF($F$2:$F$26,O3)=0,COUNTIFS($F$2:$F$26,O3,$Q$2:$Q$26,"Aprobada")&gt;0,AND(Resumen!$B$15="La cursada aprobada",COUNTIFS($F$2:$F$26,O3,$Q$2:$Q$26,"Cursada aprobada")&gt;0))),O3&amp;" ","")&amp;IF(NOT(OR(P3="",COUNTIF($F$2:$F$26,P3)=0,COUNTIFS($F$2:$F$26,P3,$Q$2:$Q$26,"Aprobada")&gt;0,AND(Resumen!$B$15="La cursada aprobada",COUNTIFS($F$2:$F$26,P3,$Q$2:$Q$26,"Cursada aprobada")&gt;0))),P3&amp;" ","")),""))</f>
        <v/>
      </c>
    </row>
    <row r="4" customFormat="false" ht="15" hidden="false" customHeight="false" outlineLevel="0" collapsed="false">
      <c r="A4" s="8" t="s">
        <v>236</v>
      </c>
      <c r="B4" s="8"/>
      <c r="C4" s="9" t="n">
        <v>1</v>
      </c>
      <c r="D4" s="9"/>
      <c r="E4" s="9" t="s">
        <v>99</v>
      </c>
      <c r="F4" s="9" t="n">
        <v>293</v>
      </c>
      <c r="G4" s="8" t="s">
        <v>258</v>
      </c>
      <c r="H4" s="9" t="s">
        <v>92</v>
      </c>
      <c r="I4" s="9" t="n">
        <v>2</v>
      </c>
      <c r="J4" s="9"/>
      <c r="K4" s="9" t="n">
        <v>32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cursada",IF(AND(OR(L4="",COUNTIF($F$2:$F$26,L4)=0,COUNTIFS($F$2:$F$26,L4,$Q$2:$Q$26,"Aprobada")&gt;0,AND(Resumen!$B$15="La cursada aprobada",COUNTIFS($F$2:$F$26,L4,$Q$2:$Q$26,"Cursada aprobada")&gt;0)),OR(M4="",COUNTIF($F$2:$F$26,M4)=0,COUNTIFS($F$2:$F$26,M4,$Q$2:$Q$26,"Aprobada")&gt;0,AND(Resumen!$B$15="La cursada aprobada",COUNTIFS($F$2:$F$26,M4,$Q$2:$Q$26,"Cursada aprobada")&gt;0)),OR(N4="",COUNTIF($F$2:$F$26,N4)=0,COUNTIFS($F$2:$F$26,N4,$Q$2:$Q$26,"Aprobada")&gt;0,AND(Resumen!$B$15="La cursada aprobada",COUNTIFS($F$2:$F$26,N4,$Q$2:$Q$26,"Cursada aprobada")&gt;0)),OR(O4="",COUNTIF($F$2:$F$26,O4)=0,COUNTIFS($F$2:$F$26,O4,$Q$2:$Q$26,"Aprobada")&gt;0,AND(Resumen!$B$15="La cursada aprobada",COUNTIFS($F$2:$F$26,O4,$Q$2:$Q$26,"Cursada aprobada")&gt;0)),OR(P4="",COUNTIF($F$2:$F$26,P4)=0,COUNTIFS($F$2:$F$26,P4,$Q$2:$Q$26,"Aprobada")&gt;0,AND(Resumen!$B$15="La cursada aprobada",COUNTIFS($F$2:$F$26,P4,$Q$2:$Q$26,"Cursada aprobada")&gt;0))),"Sí","No")))</f>
        <v>Sí</v>
      </c>
      <c r="S4" s="8" t="str">
        <f aca="false">TRIM(IF(NOT(OR(L4="",COUNTIF($F$2:$F$26,L4)=0,COUNTIFS($F$2:$F$26,L4,$Q$2:$Q$26,"Aprobada")&gt;0,AND(Resumen!$B$15="La cursada aprobada",COUNTIFS($F$2:$F$26,L4,$Q$2:$Q$26,"Cursada aprobada")&gt;0))),L4&amp;" ","")&amp;IF(NOT(OR(M4="",COUNTIF($F$2:$F$26,M4)=0,COUNTIFS($F$2:$F$26,M4,$Q$2:$Q$26,"Aprobada")&gt;0,AND(Resumen!$B$15="La cursada aprobada",COUNTIFS($F$2:$F$26,M4,$Q$2:$Q$26,"Cursada aprobada")&gt;0))),M4&amp;" ","")&amp;IF(NOT(OR(N4="",COUNTIF($F$2:$F$26,N4)=0,COUNTIFS($F$2:$F$26,N4,$Q$2:$Q$26,"Aprobada")&gt;0,AND(Resumen!$B$15="La cursada aprobada",COUNTIFS($F$2:$F$26,N4,$Q$2:$Q$26,"Cursada aprobada")&gt;0))),N4&amp;" ","")&amp;IF(NOT(OR(O4="",COUNTIF($F$2:$F$26,O4)=0,COUNTIFS($F$2:$F$26,O4,$Q$2:$Q$26,"Aprobada")&gt;0,AND(Resumen!$B$15="La cursada aprobada",COUNTIFS($F$2:$F$26,O4,$Q$2:$Q$26,"Cursada aprobada")&gt;0))),O4&amp;" ","")&amp;IF(NOT(OR(P4="",COUNTIF($F$2:$F$26,P4)=0,COUNTIFS($F$2:$F$26,P4,$Q$2:$Q$26,"Aprobada")&gt;0,AND(Resumen!$B$15="La cursada aprobada",COUNTIFS($F$2:$F$26,P4,$Q$2:$Q$26,"Cursada aprobada")&gt;0))),P4&amp;" ",""))</f>
        <v/>
      </c>
      <c r="T4" s="9" t="str">
        <f aca="false">IF(Q4="Cursada aprobada",IF(AND(OR(L4="",COUNTIF($F$2:$F$26,L4)=0,COUNTIFS($F$2:$F$26,L4,$Q$2:$Q$26,"Aprobada")&gt;0),OR(M4="",COUNTIF($F$2:$F$26,M4)=0,COUNTIFS($F$2:$F$26,M4,$Q$2:$Q$26,"Aprobada")&gt;0),OR(N4="",COUNTIF($F$2:$F$26,N4)=0,COUNTIFS($F$2:$F$26,N4,$Q$2:$Q$26,"Aprobada")&gt;0),OR(O4="",COUNTIF($F$2:$F$26,O4)=0,COUNTIFS($F$2:$F$26,O4,$Q$2:$Q$26,"Aprobada")&gt;0),OR(P4="",COUNTIF($F$2:$F$26,P4)=0,COUNTIFS($F$2:$F$26,P4,$Q$2:$Q$26,"Aprobada")&gt;0)),"Sí","No"),"")</f>
        <v/>
      </c>
      <c r="U4" s="9" t="str">
        <f aca="false">IF(Q4="Aprobada",TRIM(IF(NOT(OR(L4="",COUNTIF($F$2:$F$26,L4)=0,COUNTIFS($F$2:$F$26,L4,$Q$2:$Q$26,"Aprobada")&gt;0)),L4&amp;" ","")&amp;IF(NOT(OR(M4="",COUNTIF($F$2:$F$26,M4)=0,COUNTIFS($F$2:$F$26,M4,$Q$2:$Q$26,"Aprobada")&gt;0)),M4&amp;" ","")&amp;IF(NOT(OR(N4="",COUNTIF($F$2:$F$26,N4)=0,COUNTIFS($F$2:$F$26,N4,$Q$2:$Q$26,"Aprobada")&gt;0)),N4&amp;" ","")&amp;IF(NOT(OR(O4="",COUNTIF($F$2:$F$26,O4)=0,COUNTIFS($F$2:$F$26,O4,$Q$2:$Q$26,"Aprobada")&gt;0)),O4&amp;" ","")&amp;IF(NOT(OR(P4="",COUNTIF($F$2:$F$26,P4)=0,COUNTIFS($F$2:$F$26,P4,$Q$2:$Q$26,"Aprobada")&gt;0)),P4&amp;" ","")),IF(Q4="Cursada aprobada",TRIM(IF(NOT(OR(L4="",COUNTIF($F$2:$F$26,L4)=0,COUNTIFS($F$2:$F$26,L4,$Q$2:$Q$26,"Aprobada")&gt;0,AND(Resumen!$B$15="La cursada aprobada",COUNTIFS($F$2:$F$26,L4,$Q$2:$Q$26,"Cursada aprobada")&gt;0))),L4&amp;" ","")&amp;IF(NOT(OR(M4="",COUNTIF($F$2:$F$26,M4)=0,COUNTIFS($F$2:$F$26,M4,$Q$2:$Q$26,"Aprobada")&gt;0,AND(Resumen!$B$15="La cursada aprobada",COUNTIFS($F$2:$F$26,M4,$Q$2:$Q$26,"Cursada aprobada")&gt;0))),M4&amp;" ","")&amp;IF(NOT(OR(N4="",COUNTIF($F$2:$F$26,N4)=0,COUNTIFS($F$2:$F$26,N4,$Q$2:$Q$26,"Aprobada")&gt;0,AND(Resumen!$B$15="La cursada aprobada",COUNTIFS($F$2:$F$26,N4,$Q$2:$Q$26,"Cursada aprobada")&gt;0))),N4&amp;" ","")&amp;IF(NOT(OR(O4="",COUNTIF($F$2:$F$26,O4)=0,COUNTIFS($F$2:$F$26,O4,$Q$2:$Q$26,"Aprobada")&gt;0,AND(Resumen!$B$15="La cursada aprobada",COUNTIFS($F$2:$F$26,O4,$Q$2:$Q$26,"Cursada aprobada")&gt;0))),O4&amp;" ","")&amp;IF(NOT(OR(P4="",COUNTIF($F$2:$F$26,P4)=0,COUNTIFS($F$2:$F$26,P4,$Q$2:$Q$26,"Aprobada")&gt;0,AND(Resumen!$B$15="La cursada aprobada",COUNTIFS($F$2:$F$26,P4,$Q$2:$Q$26,"Cursada aprobada")&gt;0))),P4&amp;" ","")),""))</f>
        <v/>
      </c>
    </row>
    <row r="5" customFormat="false" ht="15" hidden="false" customHeight="false" outlineLevel="0" collapsed="false">
      <c r="A5" s="8" t="s">
        <v>240</v>
      </c>
      <c r="B5" s="8"/>
      <c r="C5" s="9" t="n">
        <v>1</v>
      </c>
      <c r="D5" s="9" t="n">
        <v>1</v>
      </c>
      <c r="E5" s="9" t="s">
        <v>59</v>
      </c>
      <c r="F5" s="9" t="n">
        <v>101</v>
      </c>
      <c r="G5" s="8" t="s">
        <v>60</v>
      </c>
      <c r="H5" s="9" t="s">
        <v>61</v>
      </c>
      <c r="I5" s="9" t="n">
        <v>6</v>
      </c>
      <c r="J5" s="9"/>
      <c r="K5" s="9" t="n">
        <v>96</v>
      </c>
      <c r="L5" s="9" t="n">
        <v>291</v>
      </c>
      <c r="M5" s="9" t="n">
        <v>292</v>
      </c>
      <c r="N5" s="9" t="n">
        <v>293</v>
      </c>
      <c r="O5" s="9"/>
      <c r="P5" s="9"/>
      <c r="Q5" s="10" t="s">
        <v>62</v>
      </c>
      <c r="R5" s="9" t="str">
        <f aca="false">IF(Q5="Aprobada","Ya aprobada",IF(Q5="Cursada aprobada","Ya cursada",IF(AND(OR(L5="",COUNTIF($F$2:$F$26,L5)=0,COUNTIFS($F$2:$F$26,L5,$Q$2:$Q$26,"Aprobada")&gt;0,AND(Resumen!$B$15="La cursada aprobada",COUNTIFS($F$2:$F$26,L5,$Q$2:$Q$26,"Cursada aprobada")&gt;0)),OR(M5="",COUNTIF($F$2:$F$26,M5)=0,COUNTIFS($F$2:$F$26,M5,$Q$2:$Q$26,"Aprobada")&gt;0,AND(Resumen!$B$15="La cursada aprobada",COUNTIFS($F$2:$F$26,M5,$Q$2:$Q$26,"Cursada aprobada")&gt;0)),OR(N5="",COUNTIF($F$2:$F$26,N5)=0,COUNTIFS($F$2:$F$26,N5,$Q$2:$Q$26,"Aprobada")&gt;0,AND(Resumen!$B$15="La cursada aprobada",COUNTIFS($F$2:$F$26,N5,$Q$2:$Q$26,"Cursada aprobada")&gt;0)),OR(O5="",COUNTIF($F$2:$F$26,O5)=0,COUNTIFS($F$2:$F$26,O5,$Q$2:$Q$26,"Aprobada")&gt;0,AND(Resumen!$B$15="La cursada aprobada",COUNTIFS($F$2:$F$26,O5,$Q$2:$Q$26,"Cursada aprobada")&gt;0)),OR(P5="",COUNTIF($F$2:$F$26,P5)=0,COUNTIFS($F$2:$F$26,P5,$Q$2:$Q$26,"Aprobada")&gt;0,AND(Resumen!$B$15="La cursada aprobada",COUNTIFS($F$2:$F$26,P5,$Q$2:$Q$26,"Cursada aprobada")&gt;0))),"Sí","No")))</f>
        <v>No</v>
      </c>
      <c r="S5" s="8" t="str">
        <f aca="false">TRIM(IF(NOT(OR(L5="",COUNTIF($F$2:$F$26,L5)=0,COUNTIFS($F$2:$F$26,L5,$Q$2:$Q$26,"Aprobada")&gt;0,AND(Resumen!$B$15="La cursada aprobada",COUNTIFS($F$2:$F$26,L5,$Q$2:$Q$26,"Cursada aprobada")&gt;0))),L5&amp;" ","")&amp;IF(NOT(OR(M5="",COUNTIF($F$2:$F$26,M5)=0,COUNTIFS($F$2:$F$26,M5,$Q$2:$Q$26,"Aprobada")&gt;0,AND(Resumen!$B$15="La cursada aprobada",COUNTIFS($F$2:$F$26,M5,$Q$2:$Q$26,"Cursada aprobada")&gt;0))),M5&amp;" ","")&amp;IF(NOT(OR(N5="",COUNTIF($F$2:$F$26,N5)=0,COUNTIFS($F$2:$F$26,N5,$Q$2:$Q$26,"Aprobada")&gt;0,AND(Resumen!$B$15="La cursada aprobada",COUNTIFS($F$2:$F$26,N5,$Q$2:$Q$26,"Cursada aprobada")&gt;0))),N5&amp;" ","")&amp;IF(NOT(OR(O5="",COUNTIF($F$2:$F$26,O5)=0,COUNTIFS($F$2:$F$26,O5,$Q$2:$Q$26,"Aprobada")&gt;0,AND(Resumen!$B$15="La cursada aprobada",COUNTIFS($F$2:$F$26,O5,$Q$2:$Q$26,"Cursada aprobada")&gt;0))),O5&amp;" ","")&amp;IF(NOT(OR(P5="",COUNTIF($F$2:$F$26,P5)=0,COUNTIFS($F$2:$F$26,P5,$Q$2:$Q$26,"Aprobada")&gt;0,AND(Resumen!$B$15="La cursada aprobada",COUNTIFS($F$2:$F$26,P5,$Q$2:$Q$26,"Cursada aprobada")&gt;0))),P5&amp;" ",""))</f>
        <v>291 292 293</v>
      </c>
      <c r="T5" s="9" t="str">
        <f aca="false">IF(Q5="Cursada aprobada",IF(AND(OR(L5="",COUNTIF($F$2:$F$26,L5)=0,COUNTIFS($F$2:$F$26,L5,$Q$2:$Q$26,"Aprobada")&gt;0),OR(M5="",COUNTIF($F$2:$F$26,M5)=0,COUNTIFS($F$2:$F$26,M5,$Q$2:$Q$26,"Aprobada")&gt;0),OR(N5="",COUNTIF($F$2:$F$26,N5)=0,COUNTIFS($F$2:$F$26,N5,$Q$2:$Q$26,"Aprobada")&gt;0),OR(O5="",COUNTIF($F$2:$F$26,O5)=0,COUNTIFS($F$2:$F$26,O5,$Q$2:$Q$26,"Aprobada")&gt;0),OR(P5="",COUNTIF($F$2:$F$26,P5)=0,COUNTIFS($F$2:$F$26,P5,$Q$2:$Q$26,"Aprobada")&gt;0)),"Sí","No"),"")</f>
        <v/>
      </c>
      <c r="U5" s="9" t="str">
        <f aca="false">IF(Q5="Aprobada",TRIM(IF(NOT(OR(L5="",COUNTIF($F$2:$F$26,L5)=0,COUNTIFS($F$2:$F$26,L5,$Q$2:$Q$26,"Aprobada")&gt;0)),L5&amp;" ","")&amp;IF(NOT(OR(M5="",COUNTIF($F$2:$F$26,M5)=0,COUNTIFS($F$2:$F$26,M5,$Q$2:$Q$26,"Aprobada")&gt;0)),M5&amp;" ","")&amp;IF(NOT(OR(N5="",COUNTIF($F$2:$F$26,N5)=0,COUNTIFS($F$2:$F$26,N5,$Q$2:$Q$26,"Aprobada")&gt;0)),N5&amp;" ","")&amp;IF(NOT(OR(O5="",COUNTIF($F$2:$F$26,O5)=0,COUNTIFS($F$2:$F$26,O5,$Q$2:$Q$26,"Aprobada")&gt;0)),O5&amp;" ","")&amp;IF(NOT(OR(P5="",COUNTIF($F$2:$F$26,P5)=0,COUNTIFS($F$2:$F$26,P5,$Q$2:$Q$26,"Aprobada")&gt;0)),P5&amp;" ","")),IF(Q5="Cursada aprobada",TRIM(IF(NOT(OR(L5="",COUNTIF($F$2:$F$26,L5)=0,COUNTIFS($F$2:$F$26,L5,$Q$2:$Q$26,"Aprobada")&gt;0,AND(Resumen!$B$15="La cursada aprobada",COUNTIFS($F$2:$F$26,L5,$Q$2:$Q$26,"Cursada aprobada")&gt;0))),L5&amp;" ","")&amp;IF(NOT(OR(M5="",COUNTIF($F$2:$F$26,M5)=0,COUNTIFS($F$2:$F$26,M5,$Q$2:$Q$26,"Aprobada")&gt;0,AND(Resumen!$B$15="La cursada aprobada",COUNTIFS($F$2:$F$26,M5,$Q$2:$Q$26,"Cursada aprobada")&gt;0))),M5&amp;" ","")&amp;IF(NOT(OR(N5="",COUNTIF($F$2:$F$26,N5)=0,COUNTIFS($F$2:$F$26,N5,$Q$2:$Q$26,"Aprobada")&gt;0,AND(Resumen!$B$15="La cursada aprobada",COUNTIFS($F$2:$F$26,N5,$Q$2:$Q$26,"Cursada aprobada")&gt;0))),N5&amp;" ","")&amp;IF(NOT(OR(O5="",COUNTIF($F$2:$F$26,O5)=0,COUNTIFS($F$2:$F$26,O5,$Q$2:$Q$26,"Aprobada")&gt;0,AND(Resumen!$B$15="La cursada aprobada",COUNTIFS($F$2:$F$26,O5,$Q$2:$Q$26,"Cursada aprobada")&gt;0))),O5&amp;" ","")&amp;IF(NOT(OR(P5="",COUNTIF($F$2:$F$26,P5)=0,COUNTIFS($F$2:$F$26,P5,$Q$2:$Q$26,"Aprobada")&gt;0,AND(Resumen!$B$15="La cursada aprobada",COUNTIFS($F$2:$F$26,P5,$Q$2:$Q$26,"Cursada aprobada")&gt;0))),P5&amp;" ","")),""))</f>
        <v/>
      </c>
    </row>
    <row r="6" customFormat="false" ht="15" hidden="false" customHeight="false" outlineLevel="0" collapsed="false">
      <c r="A6" s="8" t="s">
        <v>240</v>
      </c>
      <c r="B6" s="8"/>
      <c r="C6" s="9" t="n">
        <v>1</v>
      </c>
      <c r="D6" s="9" t="n">
        <v>1</v>
      </c>
      <c r="E6" s="9" t="s">
        <v>65</v>
      </c>
      <c r="F6" s="9" t="n">
        <v>114</v>
      </c>
      <c r="G6" s="8" t="s">
        <v>176</v>
      </c>
      <c r="H6" s="9" t="s">
        <v>61</v>
      </c>
      <c r="I6" s="9" t="n">
        <v>6</v>
      </c>
      <c r="J6" s="9"/>
      <c r="K6" s="9" t="n">
        <v>96</v>
      </c>
      <c r="L6" s="9" t="n">
        <v>291</v>
      </c>
      <c r="M6" s="9" t="n">
        <v>292</v>
      </c>
      <c r="N6" s="9" t="n">
        <v>293</v>
      </c>
      <c r="O6" s="9"/>
      <c r="P6" s="9"/>
      <c r="Q6" s="10" t="s">
        <v>62</v>
      </c>
      <c r="R6" s="9" t="str">
        <f aca="false">IF(Q6="Aprobada","Ya aprobada",IF(Q6="Cursada aprobada","Ya cursada",IF(AND(OR(L6="",COUNTIF($F$2:$F$26,L6)=0,COUNTIFS($F$2:$F$26,L6,$Q$2:$Q$26,"Aprobada")&gt;0,AND(Resumen!$B$15="La cursada aprobada",COUNTIFS($F$2:$F$26,L6,$Q$2:$Q$26,"Cursada aprobada")&gt;0)),OR(M6="",COUNTIF($F$2:$F$26,M6)=0,COUNTIFS($F$2:$F$26,M6,$Q$2:$Q$26,"Aprobada")&gt;0,AND(Resumen!$B$15="La cursada aprobada",COUNTIFS($F$2:$F$26,M6,$Q$2:$Q$26,"Cursada aprobada")&gt;0)),OR(N6="",COUNTIF($F$2:$F$26,N6)=0,COUNTIFS($F$2:$F$26,N6,$Q$2:$Q$26,"Aprobada")&gt;0,AND(Resumen!$B$15="La cursada aprobada",COUNTIFS($F$2:$F$26,N6,$Q$2:$Q$26,"Cursada aprobada")&gt;0)),OR(O6="",COUNTIF($F$2:$F$26,O6)=0,COUNTIFS($F$2:$F$26,O6,$Q$2:$Q$26,"Aprobada")&gt;0,AND(Resumen!$B$15="La cursada aprobada",COUNTIFS($F$2:$F$26,O6,$Q$2:$Q$26,"Cursada aprobada")&gt;0)),OR(P6="",COUNTIF($F$2:$F$26,P6)=0,COUNTIFS($F$2:$F$26,P6,$Q$2:$Q$26,"Aprobada")&gt;0,AND(Resumen!$B$15="La cursada aprobada",COUNTIFS($F$2:$F$26,P6,$Q$2:$Q$26,"Cursada aprobada")&gt;0))),"Sí","No")))</f>
        <v>No</v>
      </c>
      <c r="S6" s="8" t="str">
        <f aca="false">TRIM(IF(NOT(OR(L6="",COUNTIF($F$2:$F$26,L6)=0,COUNTIFS($F$2:$F$26,L6,$Q$2:$Q$26,"Aprobada")&gt;0,AND(Resumen!$B$15="La cursada aprobada",COUNTIFS($F$2:$F$26,L6,$Q$2:$Q$26,"Cursada aprobada")&gt;0))),L6&amp;" ","")&amp;IF(NOT(OR(M6="",COUNTIF($F$2:$F$26,M6)=0,COUNTIFS($F$2:$F$26,M6,$Q$2:$Q$26,"Aprobada")&gt;0,AND(Resumen!$B$15="La cursada aprobada",COUNTIFS($F$2:$F$26,M6,$Q$2:$Q$26,"Cursada aprobada")&gt;0))),M6&amp;" ","")&amp;IF(NOT(OR(N6="",COUNTIF($F$2:$F$26,N6)=0,COUNTIFS($F$2:$F$26,N6,$Q$2:$Q$26,"Aprobada")&gt;0,AND(Resumen!$B$15="La cursada aprobada",COUNTIFS($F$2:$F$26,N6,$Q$2:$Q$26,"Cursada aprobada")&gt;0))),N6&amp;" ","")&amp;IF(NOT(OR(O6="",COUNTIF($F$2:$F$26,O6)=0,COUNTIFS($F$2:$F$26,O6,$Q$2:$Q$26,"Aprobada")&gt;0,AND(Resumen!$B$15="La cursada aprobada",COUNTIFS($F$2:$F$26,O6,$Q$2:$Q$26,"Cursada aprobada")&gt;0))),O6&amp;" ","")&amp;IF(NOT(OR(P6="",COUNTIF($F$2:$F$26,P6)=0,COUNTIFS($F$2:$F$26,P6,$Q$2:$Q$26,"Aprobada")&gt;0,AND(Resumen!$B$15="La cursada aprobada",COUNTIFS($F$2:$F$26,P6,$Q$2:$Q$26,"Cursada aprobada")&gt;0))),P6&amp;" ",""))</f>
        <v>291 292 293</v>
      </c>
      <c r="T6" s="9" t="str">
        <f aca="false">IF(Q6="Cursada aprobada",IF(AND(OR(L6="",COUNTIF($F$2:$F$26,L6)=0,COUNTIFS($F$2:$F$26,L6,$Q$2:$Q$26,"Aprobada")&gt;0),OR(M6="",COUNTIF($F$2:$F$26,M6)=0,COUNTIFS($F$2:$F$26,M6,$Q$2:$Q$26,"Aprobada")&gt;0),OR(N6="",COUNTIF($F$2:$F$26,N6)=0,COUNTIFS($F$2:$F$26,N6,$Q$2:$Q$26,"Aprobada")&gt;0),OR(O6="",COUNTIF($F$2:$F$26,O6)=0,COUNTIFS($F$2:$F$26,O6,$Q$2:$Q$26,"Aprobada")&gt;0),OR(P6="",COUNTIF($F$2:$F$26,P6)=0,COUNTIFS($F$2:$F$26,P6,$Q$2:$Q$26,"Aprobada")&gt;0)),"Sí","No"),"")</f>
        <v/>
      </c>
      <c r="U6" s="9" t="str">
        <f aca="false">IF(Q6="Aprobada",TRIM(IF(NOT(OR(L6="",COUNTIF($F$2:$F$26,L6)=0,COUNTIFS($F$2:$F$26,L6,$Q$2:$Q$26,"Aprobada")&gt;0)),L6&amp;" ","")&amp;IF(NOT(OR(M6="",COUNTIF($F$2:$F$26,M6)=0,COUNTIFS($F$2:$F$26,M6,$Q$2:$Q$26,"Aprobada")&gt;0)),M6&amp;" ","")&amp;IF(NOT(OR(N6="",COUNTIF($F$2:$F$26,N6)=0,COUNTIFS($F$2:$F$26,N6,$Q$2:$Q$26,"Aprobada")&gt;0)),N6&amp;" ","")&amp;IF(NOT(OR(O6="",COUNTIF($F$2:$F$26,O6)=0,COUNTIFS($F$2:$F$26,O6,$Q$2:$Q$26,"Aprobada")&gt;0)),O6&amp;" ","")&amp;IF(NOT(OR(P6="",COUNTIF($F$2:$F$26,P6)=0,COUNTIFS($F$2:$F$26,P6,$Q$2:$Q$26,"Aprobada")&gt;0)),P6&amp;" ","")),IF(Q6="Cursada aprobada",TRIM(IF(NOT(OR(L6="",COUNTIF($F$2:$F$26,L6)=0,COUNTIFS($F$2:$F$26,L6,$Q$2:$Q$26,"Aprobada")&gt;0,AND(Resumen!$B$15="La cursada aprobada",COUNTIFS($F$2:$F$26,L6,$Q$2:$Q$26,"Cursada aprobada")&gt;0))),L6&amp;" ","")&amp;IF(NOT(OR(M6="",COUNTIF($F$2:$F$26,M6)=0,COUNTIFS($F$2:$F$26,M6,$Q$2:$Q$26,"Aprobada")&gt;0,AND(Resumen!$B$15="La cursada aprobada",COUNTIFS($F$2:$F$26,M6,$Q$2:$Q$26,"Cursada aprobada")&gt;0))),M6&amp;" ","")&amp;IF(NOT(OR(N6="",COUNTIF($F$2:$F$26,N6)=0,COUNTIFS($F$2:$F$26,N6,$Q$2:$Q$26,"Aprobada")&gt;0,AND(Resumen!$B$15="La cursada aprobada",COUNTIFS($F$2:$F$26,N6,$Q$2:$Q$26,"Cursada aprobada")&gt;0))),N6&amp;" ","")&amp;IF(NOT(OR(O6="",COUNTIF($F$2:$F$26,O6)=0,COUNTIFS($F$2:$F$26,O6,$Q$2:$Q$26,"Aprobada")&gt;0,AND(Resumen!$B$15="La cursada aprobada",COUNTIFS($F$2:$F$26,O6,$Q$2:$Q$26,"Cursada aprobada")&gt;0))),O6&amp;" ","")&amp;IF(NOT(OR(P6="",COUNTIF($F$2:$F$26,P6)=0,COUNTIFS($F$2:$F$26,P6,$Q$2:$Q$26,"Aprobada")&gt;0,AND(Resumen!$B$15="La cursada aprobada",COUNTIFS($F$2:$F$26,P6,$Q$2:$Q$26,"Cursada aprobada")&gt;0))),P6&amp;" ","")),""))</f>
        <v/>
      </c>
    </row>
    <row r="7" customFormat="false" ht="15" hidden="false" customHeight="false" outlineLevel="0" collapsed="false">
      <c r="A7" s="8" t="s">
        <v>240</v>
      </c>
      <c r="B7" s="8"/>
      <c r="C7" s="9" t="n">
        <v>1</v>
      </c>
      <c r="D7" s="9" t="n">
        <v>1</v>
      </c>
      <c r="E7" s="9" t="s">
        <v>269</v>
      </c>
      <c r="F7" s="9" t="n">
        <v>1110</v>
      </c>
      <c r="G7" s="8" t="s">
        <v>270</v>
      </c>
      <c r="H7" s="9" t="s">
        <v>61</v>
      </c>
      <c r="I7" s="9" t="n">
        <v>6</v>
      </c>
      <c r="J7" s="9"/>
      <c r="K7" s="9" t="n">
        <v>96</v>
      </c>
      <c r="L7" s="9" t="n">
        <v>291</v>
      </c>
      <c r="M7" s="9" t="n">
        <v>292</v>
      </c>
      <c r="N7" s="9" t="n">
        <v>293</v>
      </c>
      <c r="O7" s="9"/>
      <c r="P7" s="9"/>
      <c r="Q7" s="10" t="s">
        <v>62</v>
      </c>
      <c r="R7" s="9" t="str">
        <f aca="false">IF(Q7="Aprobada","Ya aprobada",IF(Q7="Cursada aprobada","Ya cursada",IF(AND(OR(L7="",COUNTIF($F$2:$F$26,L7)=0,COUNTIFS($F$2:$F$26,L7,$Q$2:$Q$26,"Aprobada")&gt;0,AND(Resumen!$B$15="La cursada aprobada",COUNTIFS($F$2:$F$26,L7,$Q$2:$Q$26,"Cursada aprobada")&gt;0)),OR(M7="",COUNTIF($F$2:$F$26,M7)=0,COUNTIFS($F$2:$F$26,M7,$Q$2:$Q$26,"Aprobada")&gt;0,AND(Resumen!$B$15="La cursada aprobada",COUNTIFS($F$2:$F$26,M7,$Q$2:$Q$26,"Cursada aprobada")&gt;0)),OR(N7="",COUNTIF($F$2:$F$26,N7)=0,COUNTIFS($F$2:$F$26,N7,$Q$2:$Q$26,"Aprobada")&gt;0,AND(Resumen!$B$15="La cursada aprobada",COUNTIFS($F$2:$F$26,N7,$Q$2:$Q$26,"Cursada aprobada")&gt;0)),OR(O7="",COUNTIF($F$2:$F$26,O7)=0,COUNTIFS($F$2:$F$26,O7,$Q$2:$Q$26,"Aprobada")&gt;0,AND(Resumen!$B$15="La cursada aprobada",COUNTIFS($F$2:$F$26,O7,$Q$2:$Q$26,"Cursada aprobada")&gt;0)),OR(P7="",COUNTIF($F$2:$F$26,P7)=0,COUNTIFS($F$2:$F$26,P7,$Q$2:$Q$26,"Aprobada")&gt;0,AND(Resumen!$B$15="La cursada aprobada",COUNTIFS($F$2:$F$26,P7,$Q$2:$Q$26,"Cursada aprobada")&gt;0))),"Sí","No")))</f>
        <v>No</v>
      </c>
      <c r="S7" s="8" t="str">
        <f aca="false">TRIM(IF(NOT(OR(L7="",COUNTIF($F$2:$F$26,L7)=0,COUNTIFS($F$2:$F$26,L7,$Q$2:$Q$26,"Aprobada")&gt;0,AND(Resumen!$B$15="La cursada aprobada",COUNTIFS($F$2:$F$26,L7,$Q$2:$Q$26,"Cursada aprobada")&gt;0))),L7&amp;" ","")&amp;IF(NOT(OR(M7="",COUNTIF($F$2:$F$26,M7)=0,COUNTIFS($F$2:$F$26,M7,$Q$2:$Q$26,"Aprobada")&gt;0,AND(Resumen!$B$15="La cursada aprobada",COUNTIFS($F$2:$F$26,M7,$Q$2:$Q$26,"Cursada aprobada")&gt;0))),M7&amp;" ","")&amp;IF(NOT(OR(N7="",COUNTIF($F$2:$F$26,N7)=0,COUNTIFS($F$2:$F$26,N7,$Q$2:$Q$26,"Aprobada")&gt;0,AND(Resumen!$B$15="La cursada aprobada",COUNTIFS($F$2:$F$26,N7,$Q$2:$Q$26,"Cursada aprobada")&gt;0))),N7&amp;" ","")&amp;IF(NOT(OR(O7="",COUNTIF($F$2:$F$26,O7)=0,COUNTIFS($F$2:$F$26,O7,$Q$2:$Q$26,"Aprobada")&gt;0,AND(Resumen!$B$15="La cursada aprobada",COUNTIFS($F$2:$F$26,O7,$Q$2:$Q$26,"Cursada aprobada")&gt;0))),O7&amp;" ","")&amp;IF(NOT(OR(P7="",COUNTIF($F$2:$F$26,P7)=0,COUNTIFS($F$2:$F$26,P7,$Q$2:$Q$26,"Aprobada")&gt;0,AND(Resumen!$B$15="La cursada aprobada",COUNTIFS($F$2:$F$26,P7,$Q$2:$Q$26,"Cursada aprobada")&gt;0))),P7&amp;" ",""))</f>
        <v>291 292 293</v>
      </c>
      <c r="T7" s="9" t="str">
        <f aca="false">IF(Q7="Cursada aprobada",IF(AND(OR(L7="",COUNTIF($F$2:$F$26,L7)=0,COUNTIFS($F$2:$F$26,L7,$Q$2:$Q$26,"Aprobada")&gt;0),OR(M7="",COUNTIF($F$2:$F$26,M7)=0,COUNTIFS($F$2:$F$26,M7,$Q$2:$Q$26,"Aprobada")&gt;0),OR(N7="",COUNTIF($F$2:$F$26,N7)=0,COUNTIFS($F$2:$F$26,N7,$Q$2:$Q$26,"Aprobada")&gt;0),OR(O7="",COUNTIF($F$2:$F$26,O7)=0,COUNTIFS($F$2:$F$26,O7,$Q$2:$Q$26,"Aprobada")&gt;0),OR(P7="",COUNTIF($F$2:$F$26,P7)=0,COUNTIFS($F$2:$F$26,P7,$Q$2:$Q$26,"Aprobada")&gt;0)),"Sí","No"),"")</f>
        <v/>
      </c>
      <c r="U7" s="9" t="str">
        <f aca="false">IF(Q7="Aprobada",TRIM(IF(NOT(OR(L7="",COUNTIF($F$2:$F$26,L7)=0,COUNTIFS($F$2:$F$26,L7,$Q$2:$Q$26,"Aprobada")&gt;0)),L7&amp;" ","")&amp;IF(NOT(OR(M7="",COUNTIF($F$2:$F$26,M7)=0,COUNTIFS($F$2:$F$26,M7,$Q$2:$Q$26,"Aprobada")&gt;0)),M7&amp;" ","")&amp;IF(NOT(OR(N7="",COUNTIF($F$2:$F$26,N7)=0,COUNTIFS($F$2:$F$26,N7,$Q$2:$Q$26,"Aprobada")&gt;0)),N7&amp;" ","")&amp;IF(NOT(OR(O7="",COUNTIF($F$2:$F$26,O7)=0,COUNTIFS($F$2:$F$26,O7,$Q$2:$Q$26,"Aprobada")&gt;0)),O7&amp;" ","")&amp;IF(NOT(OR(P7="",COUNTIF($F$2:$F$26,P7)=0,COUNTIFS($F$2:$F$26,P7,$Q$2:$Q$26,"Aprobada")&gt;0)),P7&amp;" ","")),IF(Q7="Cursada aprobada",TRIM(IF(NOT(OR(L7="",COUNTIF($F$2:$F$26,L7)=0,COUNTIFS($F$2:$F$26,L7,$Q$2:$Q$26,"Aprobada")&gt;0,AND(Resumen!$B$15="La cursada aprobada",COUNTIFS($F$2:$F$26,L7,$Q$2:$Q$26,"Cursada aprobada")&gt;0))),L7&amp;" ","")&amp;IF(NOT(OR(M7="",COUNTIF($F$2:$F$26,M7)=0,COUNTIFS($F$2:$F$26,M7,$Q$2:$Q$26,"Aprobada")&gt;0,AND(Resumen!$B$15="La cursada aprobada",COUNTIFS($F$2:$F$26,M7,$Q$2:$Q$26,"Cursada aprobada")&gt;0))),M7&amp;" ","")&amp;IF(NOT(OR(N7="",COUNTIF($F$2:$F$26,N7)=0,COUNTIFS($F$2:$F$26,N7,$Q$2:$Q$26,"Aprobada")&gt;0,AND(Resumen!$B$15="La cursada aprobada",COUNTIFS($F$2:$F$26,N7,$Q$2:$Q$26,"Cursada aprobada")&gt;0))),N7&amp;" ","")&amp;IF(NOT(OR(O7="",COUNTIF($F$2:$F$26,O7)=0,COUNTIFS($F$2:$F$26,O7,$Q$2:$Q$26,"Aprobada")&gt;0,AND(Resumen!$B$15="La cursada aprobada",COUNTIFS($F$2:$F$26,O7,$Q$2:$Q$26,"Cursada aprobada")&gt;0))),O7&amp;" ","")&amp;IF(NOT(OR(P7="",COUNTIF($F$2:$F$26,P7)=0,COUNTIFS($F$2:$F$26,P7,$Q$2:$Q$26,"Aprobada")&gt;0,AND(Resumen!$B$15="La cursada aprobada",COUNTIFS($F$2:$F$26,P7,$Q$2:$Q$26,"Cursada aprobada")&gt;0))),P7&amp;" ","")),""))</f>
        <v/>
      </c>
    </row>
    <row r="8" customFormat="false" ht="15" hidden="false" customHeight="false" outlineLevel="0" collapsed="false">
      <c r="A8" s="8" t="s">
        <v>240</v>
      </c>
      <c r="B8" s="8"/>
      <c r="C8" s="9" t="n">
        <v>1</v>
      </c>
      <c r="D8" s="9" t="n">
        <v>2</v>
      </c>
      <c r="E8" s="9" t="s">
        <v>77</v>
      </c>
      <c r="F8" s="9" t="n">
        <v>1123</v>
      </c>
      <c r="G8" s="8" t="s">
        <v>242</v>
      </c>
      <c r="H8" s="9" t="s">
        <v>71</v>
      </c>
      <c r="I8" s="9" t="n">
        <v>4</v>
      </c>
      <c r="J8" s="9"/>
      <c r="K8" s="9" t="n">
        <v>64</v>
      </c>
      <c r="L8" s="9" t="n">
        <v>291</v>
      </c>
      <c r="M8" s="9" t="n">
        <v>292</v>
      </c>
      <c r="N8" s="9" t="n">
        <v>293</v>
      </c>
      <c r="O8" s="9"/>
      <c r="P8" s="9"/>
      <c r="Q8" s="10" t="s">
        <v>62</v>
      </c>
      <c r="R8" s="9" t="str">
        <f aca="false">IF(Q8="Aprobada","Ya aprobada",IF(Q8="Cursada aprobada","Ya cursada",IF(AND(OR(L8="",COUNTIF($F$2:$F$26,L8)=0,COUNTIFS($F$2:$F$26,L8,$Q$2:$Q$26,"Aprobada")&gt;0,AND(Resumen!$B$15="La cursada aprobada",COUNTIFS($F$2:$F$26,L8,$Q$2:$Q$26,"Cursada aprobada")&gt;0)),OR(M8="",COUNTIF($F$2:$F$26,M8)=0,COUNTIFS($F$2:$F$26,M8,$Q$2:$Q$26,"Aprobada")&gt;0,AND(Resumen!$B$15="La cursada aprobada",COUNTIFS($F$2:$F$26,M8,$Q$2:$Q$26,"Cursada aprobada")&gt;0)),OR(N8="",COUNTIF($F$2:$F$26,N8)=0,COUNTIFS($F$2:$F$26,N8,$Q$2:$Q$26,"Aprobada")&gt;0,AND(Resumen!$B$15="La cursada aprobada",COUNTIFS($F$2:$F$26,N8,$Q$2:$Q$26,"Cursada aprobada")&gt;0)),OR(O8="",COUNTIF($F$2:$F$26,O8)=0,COUNTIFS($F$2:$F$26,O8,$Q$2:$Q$26,"Aprobada")&gt;0,AND(Resumen!$B$15="La cursada aprobada",COUNTIFS($F$2:$F$26,O8,$Q$2:$Q$26,"Cursada aprobada")&gt;0)),OR(P8="",COUNTIF($F$2:$F$26,P8)=0,COUNTIFS($F$2:$F$26,P8,$Q$2:$Q$26,"Aprobada")&gt;0,AND(Resumen!$B$15="La cursada aprobada",COUNTIFS($F$2:$F$26,P8,$Q$2:$Q$26,"Cursada aprobada")&gt;0))),"Sí","No")))</f>
        <v>No</v>
      </c>
      <c r="S8" s="8" t="str">
        <f aca="false">TRIM(IF(NOT(OR(L8="",COUNTIF($F$2:$F$26,L8)=0,COUNTIFS($F$2:$F$26,L8,$Q$2:$Q$26,"Aprobada")&gt;0,AND(Resumen!$B$15="La cursada aprobada",COUNTIFS($F$2:$F$26,L8,$Q$2:$Q$26,"Cursada aprobada")&gt;0))),L8&amp;" ","")&amp;IF(NOT(OR(M8="",COUNTIF($F$2:$F$26,M8)=0,COUNTIFS($F$2:$F$26,M8,$Q$2:$Q$26,"Aprobada")&gt;0,AND(Resumen!$B$15="La cursada aprobada",COUNTIFS($F$2:$F$26,M8,$Q$2:$Q$26,"Cursada aprobada")&gt;0))),M8&amp;" ","")&amp;IF(NOT(OR(N8="",COUNTIF($F$2:$F$26,N8)=0,COUNTIFS($F$2:$F$26,N8,$Q$2:$Q$26,"Aprobada")&gt;0,AND(Resumen!$B$15="La cursada aprobada",COUNTIFS($F$2:$F$26,N8,$Q$2:$Q$26,"Cursada aprobada")&gt;0))),N8&amp;" ","")&amp;IF(NOT(OR(O8="",COUNTIF($F$2:$F$26,O8)=0,COUNTIFS($F$2:$F$26,O8,$Q$2:$Q$26,"Aprobada")&gt;0,AND(Resumen!$B$15="La cursada aprobada",COUNTIFS($F$2:$F$26,O8,$Q$2:$Q$26,"Cursada aprobada")&gt;0))),O8&amp;" ","")&amp;IF(NOT(OR(P8="",COUNTIF($F$2:$F$26,P8)=0,COUNTIFS($F$2:$F$26,P8,$Q$2:$Q$26,"Aprobada")&gt;0,AND(Resumen!$B$15="La cursada aprobada",COUNTIFS($F$2:$F$26,P8,$Q$2:$Q$26,"Cursada aprobada")&gt;0))),P8&amp;" ",""))</f>
        <v>291 292 293</v>
      </c>
      <c r="T8" s="9" t="str">
        <f aca="false">IF(Q8="Cursada aprobada",IF(AND(OR(L8="",COUNTIF($F$2:$F$26,L8)=0,COUNTIFS($F$2:$F$26,L8,$Q$2:$Q$26,"Aprobada")&gt;0),OR(M8="",COUNTIF($F$2:$F$26,M8)=0,COUNTIFS($F$2:$F$26,M8,$Q$2:$Q$26,"Aprobada")&gt;0),OR(N8="",COUNTIF($F$2:$F$26,N8)=0,COUNTIFS($F$2:$F$26,N8,$Q$2:$Q$26,"Aprobada")&gt;0),OR(O8="",COUNTIF($F$2:$F$26,O8)=0,COUNTIFS($F$2:$F$26,O8,$Q$2:$Q$26,"Aprobada")&gt;0),OR(P8="",COUNTIF($F$2:$F$26,P8)=0,COUNTIFS($F$2:$F$26,P8,$Q$2:$Q$26,"Aprobada")&gt;0)),"Sí","No"),"")</f>
        <v/>
      </c>
      <c r="U8" s="9" t="str">
        <f aca="false">IF(Q8="Aprobada",TRIM(IF(NOT(OR(L8="",COUNTIF($F$2:$F$26,L8)=0,COUNTIFS($F$2:$F$26,L8,$Q$2:$Q$26,"Aprobada")&gt;0)),L8&amp;" ","")&amp;IF(NOT(OR(M8="",COUNTIF($F$2:$F$26,M8)=0,COUNTIFS($F$2:$F$26,M8,$Q$2:$Q$26,"Aprobada")&gt;0)),M8&amp;" ","")&amp;IF(NOT(OR(N8="",COUNTIF($F$2:$F$26,N8)=0,COUNTIFS($F$2:$F$26,N8,$Q$2:$Q$26,"Aprobada")&gt;0)),N8&amp;" ","")&amp;IF(NOT(OR(O8="",COUNTIF($F$2:$F$26,O8)=0,COUNTIFS($F$2:$F$26,O8,$Q$2:$Q$26,"Aprobada")&gt;0)),O8&amp;" ","")&amp;IF(NOT(OR(P8="",COUNTIF($F$2:$F$26,P8)=0,COUNTIFS($F$2:$F$26,P8,$Q$2:$Q$26,"Aprobada")&gt;0)),P8&amp;" ","")),IF(Q8="Cursada aprobada",TRIM(IF(NOT(OR(L8="",COUNTIF($F$2:$F$26,L8)=0,COUNTIFS($F$2:$F$26,L8,$Q$2:$Q$26,"Aprobada")&gt;0,AND(Resumen!$B$15="La cursada aprobada",COUNTIFS($F$2:$F$26,L8,$Q$2:$Q$26,"Cursada aprobada")&gt;0))),L8&amp;" ","")&amp;IF(NOT(OR(M8="",COUNTIF($F$2:$F$26,M8)=0,COUNTIFS($F$2:$F$26,M8,$Q$2:$Q$26,"Aprobada")&gt;0,AND(Resumen!$B$15="La cursada aprobada",COUNTIFS($F$2:$F$26,M8,$Q$2:$Q$26,"Cursada aprobada")&gt;0))),M8&amp;" ","")&amp;IF(NOT(OR(N8="",COUNTIF($F$2:$F$26,N8)=0,COUNTIFS($F$2:$F$26,N8,$Q$2:$Q$26,"Aprobada")&gt;0,AND(Resumen!$B$15="La cursada aprobada",COUNTIFS($F$2:$F$26,N8,$Q$2:$Q$26,"Cursada aprobada")&gt;0))),N8&amp;" ","")&amp;IF(NOT(OR(O8="",COUNTIF($F$2:$F$26,O8)=0,COUNTIFS($F$2:$F$26,O8,$Q$2:$Q$26,"Aprobada")&gt;0,AND(Resumen!$B$15="La cursada aprobada",COUNTIFS($F$2:$F$26,O8,$Q$2:$Q$26,"Cursada aprobada")&gt;0))),O8&amp;" ","")&amp;IF(NOT(OR(P8="",COUNTIF($F$2:$F$26,P8)=0,COUNTIFS($F$2:$F$26,P8,$Q$2:$Q$26,"Aprobada")&gt;0,AND(Resumen!$B$15="La cursada aprobada",COUNTIFS($F$2:$F$26,P8,$Q$2:$Q$26,"Cursada aprobada")&gt;0))),P8&amp;" ","")),""))</f>
        <v/>
      </c>
    </row>
    <row r="9" customFormat="false" ht="15" hidden="false" customHeight="false" outlineLevel="0" collapsed="false">
      <c r="A9" s="8" t="s">
        <v>240</v>
      </c>
      <c r="B9" s="8"/>
      <c r="C9" s="9" t="n">
        <v>1</v>
      </c>
      <c r="D9" s="9" t="n">
        <v>2</v>
      </c>
      <c r="E9" s="9" t="s">
        <v>63</v>
      </c>
      <c r="F9" s="9" t="n">
        <v>104</v>
      </c>
      <c r="G9" s="8" t="s">
        <v>64</v>
      </c>
      <c r="H9" s="9" t="s">
        <v>61</v>
      </c>
      <c r="I9" s="9" t="n">
        <v>6</v>
      </c>
      <c r="J9" s="9"/>
      <c r="K9" s="9" t="n">
        <v>96</v>
      </c>
      <c r="L9" s="9" t="n">
        <v>291</v>
      </c>
      <c r="M9" s="9" t="n">
        <v>292</v>
      </c>
      <c r="N9" s="9" t="n">
        <v>293</v>
      </c>
      <c r="O9" s="9"/>
      <c r="P9" s="9"/>
      <c r="Q9" s="10" t="s">
        <v>62</v>
      </c>
      <c r="R9" s="9" t="str">
        <f aca="false">IF(Q9="Aprobada","Ya aprobada",IF(Q9="Cursada aprobada","Ya cursada",IF(AND(OR(L9="",COUNTIF($F$2:$F$26,L9)=0,COUNTIFS($F$2:$F$26,L9,$Q$2:$Q$26,"Aprobada")&gt;0,AND(Resumen!$B$15="La cursada aprobada",COUNTIFS($F$2:$F$26,L9,$Q$2:$Q$26,"Cursada aprobada")&gt;0)),OR(M9="",COUNTIF($F$2:$F$26,M9)=0,COUNTIFS($F$2:$F$26,M9,$Q$2:$Q$26,"Aprobada")&gt;0,AND(Resumen!$B$15="La cursada aprobada",COUNTIFS($F$2:$F$26,M9,$Q$2:$Q$26,"Cursada aprobada")&gt;0)),OR(N9="",COUNTIF($F$2:$F$26,N9)=0,COUNTIFS($F$2:$F$26,N9,$Q$2:$Q$26,"Aprobada")&gt;0,AND(Resumen!$B$15="La cursada aprobada",COUNTIFS($F$2:$F$26,N9,$Q$2:$Q$26,"Cursada aprobada")&gt;0)),OR(O9="",COUNTIF($F$2:$F$26,O9)=0,COUNTIFS($F$2:$F$26,O9,$Q$2:$Q$26,"Aprobada")&gt;0,AND(Resumen!$B$15="La cursada aprobada",COUNTIFS($F$2:$F$26,O9,$Q$2:$Q$26,"Cursada aprobada")&gt;0)),OR(P9="",COUNTIF($F$2:$F$26,P9)=0,COUNTIFS($F$2:$F$26,P9,$Q$2:$Q$26,"Aprobada")&gt;0,AND(Resumen!$B$15="La cursada aprobada",COUNTIFS($F$2:$F$26,P9,$Q$2:$Q$26,"Cursada aprobada")&gt;0))),"Sí","No")))</f>
        <v>No</v>
      </c>
      <c r="S9" s="8" t="str">
        <f aca="false">TRIM(IF(NOT(OR(L9="",COUNTIF($F$2:$F$26,L9)=0,COUNTIFS($F$2:$F$26,L9,$Q$2:$Q$26,"Aprobada")&gt;0,AND(Resumen!$B$15="La cursada aprobada",COUNTIFS($F$2:$F$26,L9,$Q$2:$Q$26,"Cursada aprobada")&gt;0))),L9&amp;" ","")&amp;IF(NOT(OR(M9="",COUNTIF($F$2:$F$26,M9)=0,COUNTIFS($F$2:$F$26,M9,$Q$2:$Q$26,"Aprobada")&gt;0,AND(Resumen!$B$15="La cursada aprobada",COUNTIFS($F$2:$F$26,M9,$Q$2:$Q$26,"Cursada aprobada")&gt;0))),M9&amp;" ","")&amp;IF(NOT(OR(N9="",COUNTIF($F$2:$F$26,N9)=0,COUNTIFS($F$2:$F$26,N9,$Q$2:$Q$26,"Aprobada")&gt;0,AND(Resumen!$B$15="La cursada aprobada",COUNTIFS($F$2:$F$26,N9,$Q$2:$Q$26,"Cursada aprobada")&gt;0))),N9&amp;" ","")&amp;IF(NOT(OR(O9="",COUNTIF($F$2:$F$26,O9)=0,COUNTIFS($F$2:$F$26,O9,$Q$2:$Q$26,"Aprobada")&gt;0,AND(Resumen!$B$15="La cursada aprobada",COUNTIFS($F$2:$F$26,O9,$Q$2:$Q$26,"Cursada aprobada")&gt;0))),O9&amp;" ","")&amp;IF(NOT(OR(P9="",COUNTIF($F$2:$F$26,P9)=0,COUNTIFS($F$2:$F$26,P9,$Q$2:$Q$26,"Aprobada")&gt;0,AND(Resumen!$B$15="La cursada aprobada",COUNTIFS($F$2:$F$26,P9,$Q$2:$Q$26,"Cursada aprobada")&gt;0))),P9&amp;" ",""))</f>
        <v>291 292 293</v>
      </c>
      <c r="T9" s="9" t="str">
        <f aca="false">IF(Q9="Cursada aprobada",IF(AND(OR(L9="",COUNTIF($F$2:$F$26,L9)=0,COUNTIFS($F$2:$F$26,L9,$Q$2:$Q$26,"Aprobada")&gt;0),OR(M9="",COUNTIF($F$2:$F$26,M9)=0,COUNTIFS($F$2:$F$26,M9,$Q$2:$Q$26,"Aprobada")&gt;0),OR(N9="",COUNTIF($F$2:$F$26,N9)=0,COUNTIFS($F$2:$F$26,N9,$Q$2:$Q$26,"Aprobada")&gt;0),OR(O9="",COUNTIF($F$2:$F$26,O9)=0,COUNTIFS($F$2:$F$26,O9,$Q$2:$Q$26,"Aprobada")&gt;0),OR(P9="",COUNTIF($F$2:$F$26,P9)=0,COUNTIFS($F$2:$F$26,P9,$Q$2:$Q$26,"Aprobada")&gt;0)),"Sí","No"),"")</f>
        <v/>
      </c>
      <c r="U9" s="9" t="str">
        <f aca="false">IF(Q9="Aprobada",TRIM(IF(NOT(OR(L9="",COUNTIF($F$2:$F$26,L9)=0,COUNTIFS($F$2:$F$26,L9,$Q$2:$Q$26,"Aprobada")&gt;0)),L9&amp;" ","")&amp;IF(NOT(OR(M9="",COUNTIF($F$2:$F$26,M9)=0,COUNTIFS($F$2:$F$26,M9,$Q$2:$Q$26,"Aprobada")&gt;0)),M9&amp;" ","")&amp;IF(NOT(OR(N9="",COUNTIF($F$2:$F$26,N9)=0,COUNTIFS($F$2:$F$26,N9,$Q$2:$Q$26,"Aprobada")&gt;0)),N9&amp;" ","")&amp;IF(NOT(OR(O9="",COUNTIF($F$2:$F$26,O9)=0,COUNTIFS($F$2:$F$26,O9,$Q$2:$Q$26,"Aprobada")&gt;0)),O9&amp;" ","")&amp;IF(NOT(OR(P9="",COUNTIF($F$2:$F$26,P9)=0,COUNTIFS($F$2:$F$26,P9,$Q$2:$Q$26,"Aprobada")&gt;0)),P9&amp;" ","")),IF(Q9="Cursada aprobada",TRIM(IF(NOT(OR(L9="",COUNTIF($F$2:$F$26,L9)=0,COUNTIFS($F$2:$F$26,L9,$Q$2:$Q$26,"Aprobada")&gt;0,AND(Resumen!$B$15="La cursada aprobada",COUNTIFS($F$2:$F$26,L9,$Q$2:$Q$26,"Cursada aprobada")&gt;0))),L9&amp;" ","")&amp;IF(NOT(OR(M9="",COUNTIF($F$2:$F$26,M9)=0,COUNTIFS($F$2:$F$26,M9,$Q$2:$Q$26,"Aprobada")&gt;0,AND(Resumen!$B$15="La cursada aprobada",COUNTIFS($F$2:$F$26,M9,$Q$2:$Q$26,"Cursada aprobada")&gt;0))),M9&amp;" ","")&amp;IF(NOT(OR(N9="",COUNTIF($F$2:$F$26,N9)=0,COUNTIFS($F$2:$F$26,N9,$Q$2:$Q$26,"Aprobada")&gt;0,AND(Resumen!$B$15="La cursada aprobada",COUNTIFS($F$2:$F$26,N9,$Q$2:$Q$26,"Cursada aprobada")&gt;0))),N9&amp;" ","")&amp;IF(NOT(OR(O9="",COUNTIF($F$2:$F$26,O9)=0,COUNTIFS($F$2:$F$26,O9,$Q$2:$Q$26,"Aprobada")&gt;0,AND(Resumen!$B$15="La cursada aprobada",COUNTIFS($F$2:$F$26,O9,$Q$2:$Q$26,"Cursada aprobada")&gt;0))),O9&amp;" ","")&amp;IF(NOT(OR(P9="",COUNTIF($F$2:$F$26,P9)=0,COUNTIFS($F$2:$F$26,P9,$Q$2:$Q$26,"Aprobada")&gt;0,AND(Resumen!$B$15="La cursada aprobada",COUNTIFS($F$2:$F$26,P9,$Q$2:$Q$26,"Cursada aprobada")&gt;0))),P9&amp;" ","")),""))</f>
        <v/>
      </c>
    </row>
    <row r="10" customFormat="false" ht="15" hidden="false" customHeight="false" outlineLevel="0" collapsed="false">
      <c r="A10" s="8" t="s">
        <v>240</v>
      </c>
      <c r="B10" s="8"/>
      <c r="C10" s="9" t="n">
        <v>1</v>
      </c>
      <c r="D10" s="9" t="n">
        <v>2</v>
      </c>
      <c r="E10" s="9" t="s">
        <v>67</v>
      </c>
      <c r="F10" s="9" t="n">
        <v>227</v>
      </c>
      <c r="G10" s="8" t="s">
        <v>182</v>
      </c>
      <c r="H10" s="9" t="s">
        <v>61</v>
      </c>
      <c r="I10" s="9" t="n">
        <v>6</v>
      </c>
      <c r="J10" s="9"/>
      <c r="K10" s="9" t="n">
        <v>96</v>
      </c>
      <c r="L10" s="9" t="n">
        <v>291</v>
      </c>
      <c r="M10" s="9" t="n">
        <v>292</v>
      </c>
      <c r="N10" s="9" t="n">
        <v>293</v>
      </c>
      <c r="O10" s="9"/>
      <c r="P10" s="9"/>
      <c r="Q10" s="10" t="s">
        <v>62</v>
      </c>
      <c r="R10" s="9" t="str">
        <f aca="false">IF(Q10="Aprobada","Ya aprobada",IF(Q10="Cursada aprobada","Ya cursada",IF(AND(OR(L10="",COUNTIF($F$2:$F$26,L10)=0,COUNTIFS($F$2:$F$26,L10,$Q$2:$Q$26,"Aprobada")&gt;0,AND(Resumen!$B$15="La cursada aprobada",COUNTIFS($F$2:$F$26,L10,$Q$2:$Q$26,"Cursada aprobada")&gt;0)),OR(M10="",COUNTIF($F$2:$F$26,M10)=0,COUNTIFS($F$2:$F$26,M10,$Q$2:$Q$26,"Aprobada")&gt;0,AND(Resumen!$B$15="La cursada aprobada",COUNTIFS($F$2:$F$26,M10,$Q$2:$Q$26,"Cursada aprobada")&gt;0)),OR(N10="",COUNTIF($F$2:$F$26,N10)=0,COUNTIFS($F$2:$F$26,N10,$Q$2:$Q$26,"Aprobada")&gt;0,AND(Resumen!$B$15="La cursada aprobada",COUNTIFS($F$2:$F$26,N10,$Q$2:$Q$26,"Cursada aprobada")&gt;0)),OR(O10="",COUNTIF($F$2:$F$26,O10)=0,COUNTIFS($F$2:$F$26,O10,$Q$2:$Q$26,"Aprobada")&gt;0,AND(Resumen!$B$15="La cursada aprobada",COUNTIFS($F$2:$F$26,O10,$Q$2:$Q$26,"Cursada aprobada")&gt;0)),OR(P10="",COUNTIF($F$2:$F$26,P10)=0,COUNTIFS($F$2:$F$26,P10,$Q$2:$Q$26,"Aprobada")&gt;0,AND(Resumen!$B$15="La cursada aprobada",COUNTIFS($F$2:$F$26,P10,$Q$2:$Q$26,"Cursada aprobada")&gt;0))),"Sí","No")))</f>
        <v>No</v>
      </c>
      <c r="S10" s="8" t="str">
        <f aca="false">TRIM(IF(NOT(OR(L10="",COUNTIF($F$2:$F$26,L10)=0,COUNTIFS($F$2:$F$26,L10,$Q$2:$Q$26,"Aprobada")&gt;0,AND(Resumen!$B$15="La cursada aprobada",COUNTIFS($F$2:$F$26,L10,$Q$2:$Q$26,"Cursada aprobada")&gt;0))),L10&amp;" ","")&amp;IF(NOT(OR(M10="",COUNTIF($F$2:$F$26,M10)=0,COUNTIFS($F$2:$F$26,M10,$Q$2:$Q$26,"Aprobada")&gt;0,AND(Resumen!$B$15="La cursada aprobada",COUNTIFS($F$2:$F$26,M10,$Q$2:$Q$26,"Cursada aprobada")&gt;0))),M10&amp;" ","")&amp;IF(NOT(OR(N10="",COUNTIF($F$2:$F$26,N10)=0,COUNTIFS($F$2:$F$26,N10,$Q$2:$Q$26,"Aprobada")&gt;0,AND(Resumen!$B$15="La cursada aprobada",COUNTIFS($F$2:$F$26,N10,$Q$2:$Q$26,"Cursada aprobada")&gt;0))),N10&amp;" ","")&amp;IF(NOT(OR(O10="",COUNTIF($F$2:$F$26,O10)=0,COUNTIFS($F$2:$F$26,O10,$Q$2:$Q$26,"Aprobada")&gt;0,AND(Resumen!$B$15="La cursada aprobada",COUNTIFS($F$2:$F$26,O10,$Q$2:$Q$26,"Cursada aprobada")&gt;0))),O10&amp;" ","")&amp;IF(NOT(OR(P10="",COUNTIF($F$2:$F$26,P10)=0,COUNTIFS($F$2:$F$26,P10,$Q$2:$Q$26,"Aprobada")&gt;0,AND(Resumen!$B$15="La cursada aprobada",COUNTIFS($F$2:$F$26,P10,$Q$2:$Q$26,"Cursada aprobada")&gt;0))),P10&amp;" ",""))</f>
        <v>291 292 293</v>
      </c>
      <c r="T10" s="9" t="str">
        <f aca="false">IF(Q10="Cursada aprobada",IF(AND(OR(L10="",COUNTIF($F$2:$F$26,L10)=0,COUNTIFS($F$2:$F$26,L10,$Q$2:$Q$26,"Aprobada")&gt;0),OR(M10="",COUNTIF($F$2:$F$26,M10)=0,COUNTIFS($F$2:$F$26,M10,$Q$2:$Q$26,"Aprobada")&gt;0),OR(N10="",COUNTIF($F$2:$F$26,N10)=0,COUNTIFS($F$2:$F$26,N10,$Q$2:$Q$26,"Aprobada")&gt;0),OR(O10="",COUNTIF($F$2:$F$26,O10)=0,COUNTIFS($F$2:$F$26,O10,$Q$2:$Q$26,"Aprobada")&gt;0),OR(P10="",COUNTIF($F$2:$F$26,P10)=0,COUNTIFS($F$2:$F$26,P10,$Q$2:$Q$26,"Aprobada")&gt;0)),"Sí","No"),"")</f>
        <v/>
      </c>
      <c r="U10" s="9" t="str">
        <f aca="false">IF(Q10="Aprobada",TRIM(IF(NOT(OR(L10="",COUNTIF($F$2:$F$26,L10)=0,COUNTIFS($F$2:$F$26,L10,$Q$2:$Q$26,"Aprobada")&gt;0)),L10&amp;" ","")&amp;IF(NOT(OR(M10="",COUNTIF($F$2:$F$26,M10)=0,COUNTIFS($F$2:$F$26,M10,$Q$2:$Q$26,"Aprobada")&gt;0)),M10&amp;" ","")&amp;IF(NOT(OR(N10="",COUNTIF($F$2:$F$26,N10)=0,COUNTIFS($F$2:$F$26,N10,$Q$2:$Q$26,"Aprobada")&gt;0)),N10&amp;" ","")&amp;IF(NOT(OR(O10="",COUNTIF($F$2:$F$26,O10)=0,COUNTIFS($F$2:$F$26,O10,$Q$2:$Q$26,"Aprobada")&gt;0)),O10&amp;" ","")&amp;IF(NOT(OR(P10="",COUNTIF($F$2:$F$26,P10)=0,COUNTIFS($F$2:$F$26,P10,$Q$2:$Q$26,"Aprobada")&gt;0)),P10&amp;" ","")),IF(Q10="Cursada aprobada",TRIM(IF(NOT(OR(L10="",COUNTIF($F$2:$F$26,L10)=0,COUNTIFS($F$2:$F$26,L10,$Q$2:$Q$26,"Aprobada")&gt;0,AND(Resumen!$B$15="La cursada aprobada",COUNTIFS($F$2:$F$26,L10,$Q$2:$Q$26,"Cursada aprobada")&gt;0))),L10&amp;" ","")&amp;IF(NOT(OR(M10="",COUNTIF($F$2:$F$26,M10)=0,COUNTIFS($F$2:$F$26,M10,$Q$2:$Q$26,"Aprobada")&gt;0,AND(Resumen!$B$15="La cursada aprobada",COUNTIFS($F$2:$F$26,M10,$Q$2:$Q$26,"Cursada aprobada")&gt;0))),M10&amp;" ","")&amp;IF(NOT(OR(N10="",COUNTIF($F$2:$F$26,N10)=0,COUNTIFS($F$2:$F$26,N10,$Q$2:$Q$26,"Aprobada")&gt;0,AND(Resumen!$B$15="La cursada aprobada",COUNTIFS($F$2:$F$26,N10,$Q$2:$Q$26,"Cursada aprobada")&gt;0))),N10&amp;" ","")&amp;IF(NOT(OR(O10="",COUNTIF($F$2:$F$26,O10)=0,COUNTIFS($F$2:$F$26,O10,$Q$2:$Q$26,"Aprobada")&gt;0,AND(Resumen!$B$15="La cursada aprobada",COUNTIFS($F$2:$F$26,O10,$Q$2:$Q$26,"Cursada aprobada")&gt;0))),O10&amp;" ","")&amp;IF(NOT(OR(P10="",COUNTIF($F$2:$F$26,P10)=0,COUNTIFS($F$2:$F$26,P10,$Q$2:$Q$26,"Aprobada")&gt;0,AND(Resumen!$B$15="La cursada aprobada",COUNTIFS($F$2:$F$26,P10,$Q$2:$Q$26,"Cursada aprobada")&gt;0))),P10&amp;" ","")),""))</f>
        <v/>
      </c>
    </row>
    <row r="11" customFormat="false" ht="15" hidden="false" customHeight="false" outlineLevel="0" collapsed="false">
      <c r="A11" s="8" t="s">
        <v>240</v>
      </c>
      <c r="B11" s="8"/>
      <c r="C11" s="9" t="n">
        <v>2</v>
      </c>
      <c r="D11" s="9" t="n">
        <v>1</v>
      </c>
      <c r="E11" s="9" t="s">
        <v>99</v>
      </c>
      <c r="F11" s="9" t="n">
        <v>499</v>
      </c>
      <c r="G11" s="8" t="s">
        <v>100</v>
      </c>
      <c r="H11" s="9" t="s">
        <v>92</v>
      </c>
      <c r="I11" s="9" t="n">
        <v>2</v>
      </c>
      <c r="J11" s="9"/>
      <c r="K11" s="9" t="n">
        <v>32</v>
      </c>
      <c r="L11" s="9" t="n">
        <v>291</v>
      </c>
      <c r="M11" s="9" t="n">
        <v>292</v>
      </c>
      <c r="N11" s="9" t="n">
        <v>293</v>
      </c>
      <c r="O11" s="9"/>
      <c r="P11" s="9"/>
      <c r="Q11" s="10" t="s">
        <v>62</v>
      </c>
      <c r="R11" s="9" t="str">
        <f aca="false">IF(Q11="Aprobada","Ya aprobada",IF(Q11="Cursada aprobada","Ya cursada",IF(AND(OR(L11="",COUNTIF($F$2:$F$26,L11)=0,COUNTIFS($F$2:$F$26,L11,$Q$2:$Q$26,"Aprobada")&gt;0,AND(Resumen!$B$15="La cursada aprobada",COUNTIFS($F$2:$F$26,L11,$Q$2:$Q$26,"Cursada aprobada")&gt;0)),OR(M11="",COUNTIF($F$2:$F$26,M11)=0,COUNTIFS($F$2:$F$26,M11,$Q$2:$Q$26,"Aprobada")&gt;0,AND(Resumen!$B$15="La cursada aprobada",COUNTIFS($F$2:$F$26,M11,$Q$2:$Q$26,"Cursada aprobada")&gt;0)),OR(N11="",COUNTIF($F$2:$F$26,N11)=0,COUNTIFS($F$2:$F$26,N11,$Q$2:$Q$26,"Aprobada")&gt;0,AND(Resumen!$B$15="La cursada aprobada",COUNTIFS($F$2:$F$26,N11,$Q$2:$Q$26,"Cursada aprobada")&gt;0)),OR(O11="",COUNTIF($F$2:$F$26,O11)=0,COUNTIFS($F$2:$F$26,O11,$Q$2:$Q$26,"Aprobada")&gt;0,AND(Resumen!$B$15="La cursada aprobada",COUNTIFS($F$2:$F$26,O11,$Q$2:$Q$26,"Cursada aprobada")&gt;0)),OR(P11="",COUNTIF($F$2:$F$26,P11)=0,COUNTIFS($F$2:$F$26,P11,$Q$2:$Q$26,"Aprobada")&gt;0,AND(Resumen!$B$15="La cursada aprobada",COUNTIFS($F$2:$F$26,P11,$Q$2:$Q$26,"Cursada aprobada")&gt;0))),"Sí","No")))</f>
        <v>No</v>
      </c>
      <c r="S11" s="8" t="str">
        <f aca="false">TRIM(IF(NOT(OR(L11="",COUNTIF($F$2:$F$26,L11)=0,COUNTIFS($F$2:$F$26,L11,$Q$2:$Q$26,"Aprobada")&gt;0,AND(Resumen!$B$15="La cursada aprobada",COUNTIFS($F$2:$F$26,L11,$Q$2:$Q$26,"Cursada aprobada")&gt;0))),L11&amp;" ","")&amp;IF(NOT(OR(M11="",COUNTIF($F$2:$F$26,M11)=0,COUNTIFS($F$2:$F$26,M11,$Q$2:$Q$26,"Aprobada")&gt;0,AND(Resumen!$B$15="La cursada aprobada",COUNTIFS($F$2:$F$26,M11,$Q$2:$Q$26,"Cursada aprobada")&gt;0))),M11&amp;" ","")&amp;IF(NOT(OR(N11="",COUNTIF($F$2:$F$26,N11)=0,COUNTIFS($F$2:$F$26,N11,$Q$2:$Q$26,"Aprobada")&gt;0,AND(Resumen!$B$15="La cursada aprobada",COUNTIFS($F$2:$F$26,N11,$Q$2:$Q$26,"Cursada aprobada")&gt;0))),N11&amp;" ","")&amp;IF(NOT(OR(O11="",COUNTIF($F$2:$F$26,O11)=0,COUNTIFS($F$2:$F$26,O11,$Q$2:$Q$26,"Aprobada")&gt;0,AND(Resumen!$B$15="La cursada aprobada",COUNTIFS($F$2:$F$26,O11,$Q$2:$Q$26,"Cursada aprobada")&gt;0))),O11&amp;" ","")&amp;IF(NOT(OR(P11="",COUNTIF($F$2:$F$26,P11)=0,COUNTIFS($F$2:$F$26,P11,$Q$2:$Q$26,"Aprobada")&gt;0,AND(Resumen!$B$15="La cursada aprobada",COUNTIFS($F$2:$F$26,P11,$Q$2:$Q$26,"Cursada aprobada")&gt;0))),P11&amp;" ",""))</f>
        <v>291 292 293</v>
      </c>
      <c r="T11" s="9" t="str">
        <f aca="false">IF(Q11="Cursada aprobada",IF(AND(OR(L11="",COUNTIF($F$2:$F$26,L11)=0,COUNTIFS($F$2:$F$26,L11,$Q$2:$Q$26,"Aprobada")&gt;0),OR(M11="",COUNTIF($F$2:$F$26,M11)=0,COUNTIFS($F$2:$F$26,M11,$Q$2:$Q$26,"Aprobada")&gt;0),OR(N11="",COUNTIF($F$2:$F$26,N11)=0,COUNTIFS($F$2:$F$26,N11,$Q$2:$Q$26,"Aprobada")&gt;0),OR(O11="",COUNTIF($F$2:$F$26,O11)=0,COUNTIFS($F$2:$F$26,O11,$Q$2:$Q$26,"Aprobada")&gt;0),OR(P11="",COUNTIF($F$2:$F$26,P11)=0,COUNTIFS($F$2:$F$26,P11,$Q$2:$Q$26,"Aprobada")&gt;0)),"Sí","No"),"")</f>
        <v/>
      </c>
      <c r="U11" s="9" t="str">
        <f aca="false">IF(Q11="Aprobada",TRIM(IF(NOT(OR(L11="",COUNTIF($F$2:$F$26,L11)=0,COUNTIFS($F$2:$F$26,L11,$Q$2:$Q$26,"Aprobada")&gt;0)),L11&amp;" ","")&amp;IF(NOT(OR(M11="",COUNTIF($F$2:$F$26,M11)=0,COUNTIFS($F$2:$F$26,M11,$Q$2:$Q$26,"Aprobada")&gt;0)),M11&amp;" ","")&amp;IF(NOT(OR(N11="",COUNTIF($F$2:$F$26,N11)=0,COUNTIFS($F$2:$F$26,N11,$Q$2:$Q$26,"Aprobada")&gt;0)),N11&amp;" ","")&amp;IF(NOT(OR(O11="",COUNTIF($F$2:$F$26,O11)=0,COUNTIFS($F$2:$F$26,O11,$Q$2:$Q$26,"Aprobada")&gt;0)),O11&amp;" ","")&amp;IF(NOT(OR(P11="",COUNTIF($F$2:$F$26,P11)=0,COUNTIFS($F$2:$F$26,P11,$Q$2:$Q$26,"Aprobada")&gt;0)),P11&amp;" ","")),IF(Q11="Cursada aprobada",TRIM(IF(NOT(OR(L11="",COUNTIF($F$2:$F$26,L11)=0,COUNTIFS($F$2:$F$26,L11,$Q$2:$Q$26,"Aprobada")&gt;0,AND(Resumen!$B$15="La cursada aprobada",COUNTIFS($F$2:$F$26,L11,$Q$2:$Q$26,"Cursada aprobada")&gt;0))),L11&amp;" ","")&amp;IF(NOT(OR(M11="",COUNTIF($F$2:$F$26,M11)=0,COUNTIFS($F$2:$F$26,M11,$Q$2:$Q$26,"Aprobada")&gt;0,AND(Resumen!$B$15="La cursada aprobada",COUNTIFS($F$2:$F$26,M11,$Q$2:$Q$26,"Cursada aprobada")&gt;0))),M11&amp;" ","")&amp;IF(NOT(OR(N11="",COUNTIF($F$2:$F$26,N11)=0,COUNTIFS($F$2:$F$26,N11,$Q$2:$Q$26,"Aprobada")&gt;0,AND(Resumen!$B$15="La cursada aprobada",COUNTIFS($F$2:$F$26,N11,$Q$2:$Q$26,"Cursada aprobada")&gt;0))),N11&amp;" ","")&amp;IF(NOT(OR(O11="",COUNTIF($F$2:$F$26,O11)=0,COUNTIFS($F$2:$F$26,O11,$Q$2:$Q$26,"Aprobada")&gt;0,AND(Resumen!$B$15="La cursada aprobada",COUNTIFS($F$2:$F$26,O11,$Q$2:$Q$26,"Cursada aprobada")&gt;0))),O11&amp;" ","")&amp;IF(NOT(OR(P11="",COUNTIF($F$2:$F$26,P11)=0,COUNTIFS($F$2:$F$26,P11,$Q$2:$Q$26,"Aprobada")&gt;0,AND(Resumen!$B$15="La cursada aprobada",COUNTIFS($F$2:$F$26,P11,$Q$2:$Q$26,"Cursada aprobada")&gt;0))),P11&amp;" ","")),""))</f>
        <v/>
      </c>
    </row>
    <row r="12" customFormat="false" ht="15" hidden="false" customHeight="false" outlineLevel="0" collapsed="false">
      <c r="A12" s="8" t="s">
        <v>240</v>
      </c>
      <c r="B12" s="8"/>
      <c r="C12" s="9" t="n">
        <v>2</v>
      </c>
      <c r="D12" s="9" t="n">
        <v>1</v>
      </c>
      <c r="E12" s="9" t="s">
        <v>77</v>
      </c>
      <c r="F12" s="9" t="n">
        <v>1244</v>
      </c>
      <c r="G12" s="8" t="s">
        <v>132</v>
      </c>
      <c r="H12" s="9" t="s">
        <v>71</v>
      </c>
      <c r="I12" s="9" t="n">
        <v>4</v>
      </c>
      <c r="J12" s="9"/>
      <c r="K12" s="9" t="n">
        <v>64</v>
      </c>
      <c r="L12" s="9" t="n">
        <v>1123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cursada",IF(AND(OR(L12="",COUNTIF($F$2:$F$26,L12)=0,COUNTIFS($F$2:$F$26,L12,$Q$2:$Q$26,"Aprobada")&gt;0,AND(Resumen!$B$15="La cursada aprobada",COUNTIFS($F$2:$F$26,L12,$Q$2:$Q$26,"Cursada aprobada")&gt;0)),OR(M12="",COUNTIF($F$2:$F$26,M12)=0,COUNTIFS($F$2:$F$26,M12,$Q$2:$Q$26,"Aprobada")&gt;0,AND(Resumen!$B$15="La cursada aprobada",COUNTIFS($F$2:$F$26,M12,$Q$2:$Q$26,"Cursada aprobada")&gt;0)),OR(N12="",COUNTIF($F$2:$F$26,N12)=0,COUNTIFS($F$2:$F$26,N12,$Q$2:$Q$26,"Aprobada")&gt;0,AND(Resumen!$B$15="La cursada aprobada",COUNTIFS($F$2:$F$26,N12,$Q$2:$Q$26,"Cursada aprobada")&gt;0)),OR(O12="",COUNTIF($F$2:$F$26,O12)=0,COUNTIFS($F$2:$F$26,O12,$Q$2:$Q$26,"Aprobada")&gt;0,AND(Resumen!$B$15="La cursada aprobada",COUNTIFS($F$2:$F$26,O12,$Q$2:$Q$26,"Cursada aprobada")&gt;0)),OR(P12="",COUNTIF($F$2:$F$26,P12)=0,COUNTIFS($F$2:$F$26,P12,$Q$2:$Q$26,"Aprobada")&gt;0,AND(Resumen!$B$15="La cursada aprobada",COUNTIFS($F$2:$F$26,P12,$Q$2:$Q$26,"Cursada aprobada")&gt;0))),"Sí","No")))</f>
        <v>No</v>
      </c>
      <c r="S12" s="8" t="str">
        <f aca="false">TRIM(IF(NOT(OR(L12="",COUNTIF($F$2:$F$26,L12)=0,COUNTIFS($F$2:$F$26,L12,$Q$2:$Q$26,"Aprobada")&gt;0,AND(Resumen!$B$15="La cursada aprobada",COUNTIFS($F$2:$F$26,L12,$Q$2:$Q$26,"Cursada aprobada")&gt;0))),L12&amp;" ","")&amp;IF(NOT(OR(M12="",COUNTIF($F$2:$F$26,M12)=0,COUNTIFS($F$2:$F$26,M12,$Q$2:$Q$26,"Aprobada")&gt;0,AND(Resumen!$B$15="La cursada aprobada",COUNTIFS($F$2:$F$26,M12,$Q$2:$Q$26,"Cursada aprobada")&gt;0))),M12&amp;" ","")&amp;IF(NOT(OR(N12="",COUNTIF($F$2:$F$26,N12)=0,COUNTIFS($F$2:$F$26,N12,$Q$2:$Q$26,"Aprobada")&gt;0,AND(Resumen!$B$15="La cursada aprobada",COUNTIFS($F$2:$F$26,N12,$Q$2:$Q$26,"Cursada aprobada")&gt;0))),N12&amp;" ","")&amp;IF(NOT(OR(O12="",COUNTIF($F$2:$F$26,O12)=0,COUNTIFS($F$2:$F$26,O12,$Q$2:$Q$26,"Aprobada")&gt;0,AND(Resumen!$B$15="La cursada aprobada",COUNTIFS($F$2:$F$26,O12,$Q$2:$Q$26,"Cursada aprobada")&gt;0))),O12&amp;" ","")&amp;IF(NOT(OR(P12="",COUNTIF($F$2:$F$26,P12)=0,COUNTIFS($F$2:$F$26,P12,$Q$2:$Q$26,"Aprobada")&gt;0,AND(Resumen!$B$15="La cursada aprobada",COUNTIFS($F$2:$F$26,P12,$Q$2:$Q$26,"Cursada aprobada")&gt;0))),P12&amp;" ",""))</f>
        <v>1123</v>
      </c>
      <c r="T12" s="9" t="str">
        <f aca="false">IF(Q12="Cursada aprobada",IF(AND(OR(L12="",COUNTIF($F$2:$F$26,L12)=0,COUNTIFS($F$2:$F$26,L12,$Q$2:$Q$26,"Aprobada")&gt;0),OR(M12="",COUNTIF($F$2:$F$26,M12)=0,COUNTIFS($F$2:$F$26,M12,$Q$2:$Q$26,"Aprobada")&gt;0),OR(N12="",COUNTIF($F$2:$F$26,N12)=0,COUNTIFS($F$2:$F$26,N12,$Q$2:$Q$26,"Aprobada")&gt;0),OR(O12="",COUNTIF($F$2:$F$26,O12)=0,COUNTIFS($F$2:$F$26,O12,$Q$2:$Q$26,"Aprobada")&gt;0),OR(P12="",COUNTIF($F$2:$F$26,P12)=0,COUNTIFS($F$2:$F$26,P12,$Q$2:$Q$26,"Aprobada")&gt;0)),"Sí","No"),"")</f>
        <v/>
      </c>
      <c r="U12" s="9" t="str">
        <f aca="false">IF(Q12="Aprobada",TRIM(IF(NOT(OR(L12="",COUNTIF($F$2:$F$26,L12)=0,COUNTIFS($F$2:$F$26,L12,$Q$2:$Q$26,"Aprobada")&gt;0)),L12&amp;" ","")&amp;IF(NOT(OR(M12="",COUNTIF($F$2:$F$26,M12)=0,COUNTIFS($F$2:$F$26,M12,$Q$2:$Q$26,"Aprobada")&gt;0)),M12&amp;" ","")&amp;IF(NOT(OR(N12="",COUNTIF($F$2:$F$26,N12)=0,COUNTIFS($F$2:$F$26,N12,$Q$2:$Q$26,"Aprobada")&gt;0)),N12&amp;" ","")&amp;IF(NOT(OR(O12="",COUNTIF($F$2:$F$26,O12)=0,COUNTIFS($F$2:$F$26,O12,$Q$2:$Q$26,"Aprobada")&gt;0)),O12&amp;" ","")&amp;IF(NOT(OR(P12="",COUNTIF($F$2:$F$26,P12)=0,COUNTIFS($F$2:$F$26,P12,$Q$2:$Q$26,"Aprobada")&gt;0)),P12&amp;" ","")),IF(Q12="Cursada aprobada",TRIM(IF(NOT(OR(L12="",COUNTIF($F$2:$F$26,L12)=0,COUNTIFS($F$2:$F$26,L12,$Q$2:$Q$26,"Aprobada")&gt;0,AND(Resumen!$B$15="La cursada aprobada",COUNTIFS($F$2:$F$26,L12,$Q$2:$Q$26,"Cursada aprobada")&gt;0))),L12&amp;" ","")&amp;IF(NOT(OR(M12="",COUNTIF($F$2:$F$26,M12)=0,COUNTIFS($F$2:$F$26,M12,$Q$2:$Q$26,"Aprobada")&gt;0,AND(Resumen!$B$15="La cursada aprobada",COUNTIFS($F$2:$F$26,M12,$Q$2:$Q$26,"Cursada aprobada")&gt;0))),M12&amp;" ","")&amp;IF(NOT(OR(N12="",COUNTIF($F$2:$F$26,N12)=0,COUNTIFS($F$2:$F$26,N12,$Q$2:$Q$26,"Aprobada")&gt;0,AND(Resumen!$B$15="La cursada aprobada",COUNTIFS($F$2:$F$26,N12,$Q$2:$Q$26,"Cursada aprobada")&gt;0))),N12&amp;" ","")&amp;IF(NOT(OR(O12="",COUNTIF($F$2:$F$26,O12)=0,COUNTIFS($F$2:$F$26,O12,$Q$2:$Q$26,"Aprobada")&gt;0,AND(Resumen!$B$15="La cursada aprobada",COUNTIFS($F$2:$F$26,O12,$Q$2:$Q$26,"Cursada aprobada")&gt;0))),O12&amp;" ","")&amp;IF(NOT(OR(P12="",COUNTIF($F$2:$F$26,P12)=0,COUNTIFS($F$2:$F$26,P12,$Q$2:$Q$26,"Aprobada")&gt;0,AND(Resumen!$B$15="La cursada aprobada",COUNTIFS($F$2:$F$26,P12,$Q$2:$Q$26,"Cursada aprobada")&gt;0))),P12&amp;" ","")),""))</f>
        <v/>
      </c>
    </row>
    <row r="13" customFormat="false" ht="15" hidden="false" customHeight="false" outlineLevel="0" collapsed="false">
      <c r="A13" s="8" t="s">
        <v>240</v>
      </c>
      <c r="B13" s="8"/>
      <c r="C13" s="9" t="n">
        <v>2</v>
      </c>
      <c r="D13" s="9" t="n">
        <v>1</v>
      </c>
      <c r="E13" s="9" t="s">
        <v>63</v>
      </c>
      <c r="F13" s="9" t="n">
        <v>1111</v>
      </c>
      <c r="G13" s="8" t="s">
        <v>271</v>
      </c>
      <c r="H13" s="9" t="s">
        <v>61</v>
      </c>
      <c r="I13" s="9" t="n">
        <v>4</v>
      </c>
      <c r="J13" s="9"/>
      <c r="K13" s="9" t="n">
        <v>64</v>
      </c>
      <c r="L13" s="9" t="n">
        <v>104</v>
      </c>
      <c r="M13" s="9" t="n">
        <v>1110</v>
      </c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cursada",IF(AND(OR(L13="",COUNTIF($F$2:$F$26,L13)=0,COUNTIFS($F$2:$F$26,L13,$Q$2:$Q$26,"Aprobada")&gt;0,AND(Resumen!$B$15="La cursada aprobada",COUNTIFS($F$2:$F$26,L13,$Q$2:$Q$26,"Cursada aprobada")&gt;0)),OR(M13="",COUNTIF($F$2:$F$26,M13)=0,COUNTIFS($F$2:$F$26,M13,$Q$2:$Q$26,"Aprobada")&gt;0,AND(Resumen!$B$15="La cursada aprobada",COUNTIFS($F$2:$F$26,M13,$Q$2:$Q$26,"Cursada aprobada")&gt;0)),OR(N13="",COUNTIF($F$2:$F$26,N13)=0,COUNTIFS($F$2:$F$26,N13,$Q$2:$Q$26,"Aprobada")&gt;0,AND(Resumen!$B$15="La cursada aprobada",COUNTIFS($F$2:$F$26,N13,$Q$2:$Q$26,"Cursada aprobada")&gt;0)),OR(O13="",COUNTIF($F$2:$F$26,O13)=0,COUNTIFS($F$2:$F$26,O13,$Q$2:$Q$26,"Aprobada")&gt;0,AND(Resumen!$B$15="La cursada aprobada",COUNTIFS($F$2:$F$26,O13,$Q$2:$Q$26,"Cursada aprobada")&gt;0)),OR(P13="",COUNTIF($F$2:$F$26,P13)=0,COUNTIFS($F$2:$F$26,P13,$Q$2:$Q$26,"Aprobada")&gt;0,AND(Resumen!$B$15="La cursada aprobada",COUNTIFS($F$2:$F$26,P13,$Q$2:$Q$26,"Cursada aprobada")&gt;0))),"Sí","No")))</f>
        <v>No</v>
      </c>
      <c r="S13" s="8" t="str">
        <f aca="false">TRIM(IF(NOT(OR(L13="",COUNTIF($F$2:$F$26,L13)=0,COUNTIFS($F$2:$F$26,L13,$Q$2:$Q$26,"Aprobada")&gt;0,AND(Resumen!$B$15="La cursada aprobada",COUNTIFS($F$2:$F$26,L13,$Q$2:$Q$26,"Cursada aprobada")&gt;0))),L13&amp;" ","")&amp;IF(NOT(OR(M13="",COUNTIF($F$2:$F$26,M13)=0,COUNTIFS($F$2:$F$26,M13,$Q$2:$Q$26,"Aprobada")&gt;0,AND(Resumen!$B$15="La cursada aprobada",COUNTIFS($F$2:$F$26,M13,$Q$2:$Q$26,"Cursada aprobada")&gt;0))),M13&amp;" ","")&amp;IF(NOT(OR(N13="",COUNTIF($F$2:$F$26,N13)=0,COUNTIFS($F$2:$F$26,N13,$Q$2:$Q$26,"Aprobada")&gt;0,AND(Resumen!$B$15="La cursada aprobada",COUNTIFS($F$2:$F$26,N13,$Q$2:$Q$26,"Cursada aprobada")&gt;0))),N13&amp;" ","")&amp;IF(NOT(OR(O13="",COUNTIF($F$2:$F$26,O13)=0,COUNTIFS($F$2:$F$26,O13,$Q$2:$Q$26,"Aprobada")&gt;0,AND(Resumen!$B$15="La cursada aprobada",COUNTIFS($F$2:$F$26,O13,$Q$2:$Q$26,"Cursada aprobada")&gt;0))),O13&amp;" ","")&amp;IF(NOT(OR(P13="",COUNTIF($F$2:$F$26,P13)=0,COUNTIFS($F$2:$F$26,P13,$Q$2:$Q$26,"Aprobada")&gt;0,AND(Resumen!$B$15="La cursada aprobada",COUNTIFS($F$2:$F$26,P13,$Q$2:$Q$26,"Cursada aprobada")&gt;0))),P13&amp;" ",""))</f>
        <v>104 1110</v>
      </c>
      <c r="T13" s="9" t="str">
        <f aca="false">IF(Q13="Cursada aprobada",IF(AND(OR(L13="",COUNTIF($F$2:$F$26,L13)=0,COUNTIFS($F$2:$F$26,L13,$Q$2:$Q$26,"Aprobada")&gt;0),OR(M13="",COUNTIF($F$2:$F$26,M13)=0,COUNTIFS($F$2:$F$26,M13,$Q$2:$Q$26,"Aprobada")&gt;0),OR(N13="",COUNTIF($F$2:$F$26,N13)=0,COUNTIFS($F$2:$F$26,N13,$Q$2:$Q$26,"Aprobada")&gt;0),OR(O13="",COUNTIF($F$2:$F$26,O13)=0,COUNTIFS($F$2:$F$26,O13,$Q$2:$Q$26,"Aprobada")&gt;0),OR(P13="",COUNTIF($F$2:$F$26,P13)=0,COUNTIFS($F$2:$F$26,P13,$Q$2:$Q$26,"Aprobada")&gt;0)),"Sí","No"),"")</f>
        <v/>
      </c>
      <c r="U13" s="9" t="str">
        <f aca="false">IF(Q13="Aprobada",TRIM(IF(NOT(OR(L13="",COUNTIF($F$2:$F$26,L13)=0,COUNTIFS($F$2:$F$26,L13,$Q$2:$Q$26,"Aprobada")&gt;0)),L13&amp;" ","")&amp;IF(NOT(OR(M13="",COUNTIF($F$2:$F$26,M13)=0,COUNTIFS($F$2:$F$26,M13,$Q$2:$Q$26,"Aprobada")&gt;0)),M13&amp;" ","")&amp;IF(NOT(OR(N13="",COUNTIF($F$2:$F$26,N13)=0,COUNTIFS($F$2:$F$26,N13,$Q$2:$Q$26,"Aprobada")&gt;0)),N13&amp;" ","")&amp;IF(NOT(OR(O13="",COUNTIF($F$2:$F$26,O13)=0,COUNTIFS($F$2:$F$26,O13,$Q$2:$Q$26,"Aprobada")&gt;0)),O13&amp;" ","")&amp;IF(NOT(OR(P13="",COUNTIF($F$2:$F$26,P13)=0,COUNTIFS($F$2:$F$26,P13,$Q$2:$Q$26,"Aprobada")&gt;0)),P13&amp;" ","")),IF(Q13="Cursada aprobada",TRIM(IF(NOT(OR(L13="",COUNTIF($F$2:$F$26,L13)=0,COUNTIFS($F$2:$F$26,L13,$Q$2:$Q$26,"Aprobada")&gt;0,AND(Resumen!$B$15="La cursada aprobada",COUNTIFS($F$2:$F$26,L13,$Q$2:$Q$26,"Cursada aprobada")&gt;0))),L13&amp;" ","")&amp;IF(NOT(OR(M13="",COUNTIF($F$2:$F$26,M13)=0,COUNTIFS($F$2:$F$26,M13,$Q$2:$Q$26,"Aprobada")&gt;0,AND(Resumen!$B$15="La cursada aprobada",COUNTIFS($F$2:$F$26,M13,$Q$2:$Q$26,"Cursada aprobada")&gt;0))),M13&amp;" ","")&amp;IF(NOT(OR(N13="",COUNTIF($F$2:$F$26,N13)=0,COUNTIFS($F$2:$F$26,N13,$Q$2:$Q$26,"Aprobada")&gt;0,AND(Resumen!$B$15="La cursada aprobada",COUNTIFS($F$2:$F$26,N13,$Q$2:$Q$26,"Cursada aprobada")&gt;0))),N13&amp;" ","")&amp;IF(NOT(OR(O13="",COUNTIF($F$2:$F$26,O13)=0,COUNTIFS($F$2:$F$26,O13,$Q$2:$Q$26,"Aprobada")&gt;0,AND(Resumen!$B$15="La cursada aprobada",COUNTIFS($F$2:$F$26,O13,$Q$2:$Q$26,"Cursada aprobada")&gt;0))),O13&amp;" ","")&amp;IF(NOT(OR(P13="",COUNTIF($F$2:$F$26,P13)=0,COUNTIFS($F$2:$F$26,P13,$Q$2:$Q$26,"Aprobada")&gt;0,AND(Resumen!$B$15="La cursada aprobada",COUNTIFS($F$2:$F$26,P13,$Q$2:$Q$26,"Cursada aprobada")&gt;0))),P13&amp;" ","")),""))</f>
        <v/>
      </c>
    </row>
    <row r="14" customFormat="false" ht="15" hidden="false" customHeight="false" outlineLevel="0" collapsed="false">
      <c r="A14" s="8" t="s">
        <v>240</v>
      </c>
      <c r="B14" s="8"/>
      <c r="C14" s="9" t="n">
        <v>2</v>
      </c>
      <c r="D14" s="9" t="n">
        <v>1</v>
      </c>
      <c r="E14" s="9" t="s">
        <v>67</v>
      </c>
      <c r="F14" s="9" t="s">
        <v>272</v>
      </c>
      <c r="G14" s="8" t="s">
        <v>260</v>
      </c>
      <c r="H14" s="9" t="s">
        <v>61</v>
      </c>
      <c r="I14" s="9" t="n">
        <v>6</v>
      </c>
      <c r="J14" s="9"/>
      <c r="K14" s="9" t="n">
        <v>96</v>
      </c>
      <c r="L14" s="9" t="n">
        <v>104</v>
      </c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cursada",IF(AND(OR(L14="",COUNTIF($F$2:$F$26,L14)=0,COUNTIFS($F$2:$F$26,L14,$Q$2:$Q$26,"Aprobada")&gt;0,AND(Resumen!$B$15="La cursada aprobada",COUNTIFS($F$2:$F$26,L14,$Q$2:$Q$26,"Cursada aprobada")&gt;0)),OR(M14="",COUNTIF($F$2:$F$26,M14)=0,COUNTIFS($F$2:$F$26,M14,$Q$2:$Q$26,"Aprobada")&gt;0,AND(Resumen!$B$15="La cursada aprobada",COUNTIFS($F$2:$F$26,M14,$Q$2:$Q$26,"Cursada aprobada")&gt;0)),OR(N14="",COUNTIF($F$2:$F$26,N14)=0,COUNTIFS($F$2:$F$26,N14,$Q$2:$Q$26,"Aprobada")&gt;0,AND(Resumen!$B$15="La cursada aprobada",COUNTIFS($F$2:$F$26,N14,$Q$2:$Q$26,"Cursada aprobada")&gt;0)),OR(O14="",COUNTIF($F$2:$F$26,O14)=0,COUNTIFS($F$2:$F$26,O14,$Q$2:$Q$26,"Aprobada")&gt;0,AND(Resumen!$B$15="La cursada aprobada",COUNTIFS($F$2:$F$26,O14,$Q$2:$Q$26,"Cursada aprobada")&gt;0)),OR(P14="",COUNTIF($F$2:$F$26,P14)=0,COUNTIFS($F$2:$F$26,P14,$Q$2:$Q$26,"Aprobada")&gt;0,AND(Resumen!$B$15="La cursada aprobada",COUNTIFS($F$2:$F$26,P14,$Q$2:$Q$26,"Cursada aprobada")&gt;0))),"Sí","No")))</f>
        <v>No</v>
      </c>
      <c r="S14" s="8" t="str">
        <f aca="false">TRIM(IF(NOT(OR(L14="",COUNTIF($F$2:$F$26,L14)=0,COUNTIFS($F$2:$F$26,L14,$Q$2:$Q$26,"Aprobada")&gt;0,AND(Resumen!$B$15="La cursada aprobada",COUNTIFS($F$2:$F$26,L14,$Q$2:$Q$26,"Cursada aprobada")&gt;0))),L14&amp;" ","")&amp;IF(NOT(OR(M14="",COUNTIF($F$2:$F$26,M14)=0,COUNTIFS($F$2:$F$26,M14,$Q$2:$Q$26,"Aprobada")&gt;0,AND(Resumen!$B$15="La cursada aprobada",COUNTIFS($F$2:$F$26,M14,$Q$2:$Q$26,"Cursada aprobada")&gt;0))),M14&amp;" ","")&amp;IF(NOT(OR(N14="",COUNTIF($F$2:$F$26,N14)=0,COUNTIFS($F$2:$F$26,N14,$Q$2:$Q$26,"Aprobada")&gt;0,AND(Resumen!$B$15="La cursada aprobada",COUNTIFS($F$2:$F$26,N14,$Q$2:$Q$26,"Cursada aprobada")&gt;0))),N14&amp;" ","")&amp;IF(NOT(OR(O14="",COUNTIF($F$2:$F$26,O14)=0,COUNTIFS($F$2:$F$26,O14,$Q$2:$Q$26,"Aprobada")&gt;0,AND(Resumen!$B$15="La cursada aprobada",COUNTIFS($F$2:$F$26,O14,$Q$2:$Q$26,"Cursada aprobada")&gt;0))),O14&amp;" ","")&amp;IF(NOT(OR(P14="",COUNTIF($F$2:$F$26,P14)=0,COUNTIFS($F$2:$F$26,P14,$Q$2:$Q$26,"Aprobada")&gt;0,AND(Resumen!$B$15="La cursada aprobada",COUNTIFS($F$2:$F$26,P14,$Q$2:$Q$26,"Cursada aprobada")&gt;0))),P14&amp;" ",""))</f>
        <v>104</v>
      </c>
      <c r="T14" s="9" t="str">
        <f aca="false">IF(Q14="Cursada aprobada",IF(AND(OR(L14="",COUNTIF($F$2:$F$26,L14)=0,COUNTIFS($F$2:$F$26,L14,$Q$2:$Q$26,"Aprobada")&gt;0),OR(M14="",COUNTIF($F$2:$F$26,M14)=0,COUNTIFS($F$2:$F$26,M14,$Q$2:$Q$26,"Aprobada")&gt;0),OR(N14="",COUNTIF($F$2:$F$26,N14)=0,COUNTIFS($F$2:$F$26,N14,$Q$2:$Q$26,"Aprobada")&gt;0),OR(O14="",COUNTIF($F$2:$F$26,O14)=0,COUNTIFS($F$2:$F$26,O14,$Q$2:$Q$26,"Aprobada")&gt;0),OR(P14="",COUNTIF($F$2:$F$26,P14)=0,COUNTIFS($F$2:$F$26,P14,$Q$2:$Q$26,"Aprobada")&gt;0)),"Sí","No"),"")</f>
        <v/>
      </c>
      <c r="U14" s="9" t="str">
        <f aca="false">IF(Q14="Aprobada",TRIM(IF(NOT(OR(L14="",COUNTIF($F$2:$F$26,L14)=0,COUNTIFS($F$2:$F$26,L14,$Q$2:$Q$26,"Aprobada")&gt;0)),L14&amp;" ","")&amp;IF(NOT(OR(M14="",COUNTIF($F$2:$F$26,M14)=0,COUNTIFS($F$2:$F$26,M14,$Q$2:$Q$26,"Aprobada")&gt;0)),M14&amp;" ","")&amp;IF(NOT(OR(N14="",COUNTIF($F$2:$F$26,N14)=0,COUNTIFS($F$2:$F$26,N14,$Q$2:$Q$26,"Aprobada")&gt;0)),N14&amp;" ","")&amp;IF(NOT(OR(O14="",COUNTIF($F$2:$F$26,O14)=0,COUNTIFS($F$2:$F$26,O14,$Q$2:$Q$26,"Aprobada")&gt;0)),O14&amp;" ","")&amp;IF(NOT(OR(P14="",COUNTIF($F$2:$F$26,P14)=0,COUNTIFS($F$2:$F$26,P14,$Q$2:$Q$26,"Aprobada")&gt;0)),P14&amp;" ","")),IF(Q14="Cursada aprobada",TRIM(IF(NOT(OR(L14="",COUNTIF($F$2:$F$26,L14)=0,COUNTIFS($F$2:$F$26,L14,$Q$2:$Q$26,"Aprobada")&gt;0,AND(Resumen!$B$15="La cursada aprobada",COUNTIFS($F$2:$F$26,L14,$Q$2:$Q$26,"Cursada aprobada")&gt;0))),L14&amp;" ","")&amp;IF(NOT(OR(M14="",COUNTIF($F$2:$F$26,M14)=0,COUNTIFS($F$2:$F$26,M14,$Q$2:$Q$26,"Aprobada")&gt;0,AND(Resumen!$B$15="La cursada aprobada",COUNTIFS($F$2:$F$26,M14,$Q$2:$Q$26,"Cursada aprobada")&gt;0))),M14&amp;" ","")&amp;IF(NOT(OR(N14="",COUNTIF($F$2:$F$26,N14)=0,COUNTIFS($F$2:$F$26,N14,$Q$2:$Q$26,"Aprobada")&gt;0,AND(Resumen!$B$15="La cursada aprobada",COUNTIFS($F$2:$F$26,N14,$Q$2:$Q$26,"Cursada aprobada")&gt;0))),N14&amp;" ","")&amp;IF(NOT(OR(O14="",COUNTIF($F$2:$F$26,O14)=0,COUNTIFS($F$2:$F$26,O14,$Q$2:$Q$26,"Aprobada")&gt;0,AND(Resumen!$B$15="La cursada aprobada",COUNTIFS($F$2:$F$26,O14,$Q$2:$Q$26,"Cursada aprobada")&gt;0))),O14&amp;" ","")&amp;IF(NOT(OR(P14="",COUNTIF($F$2:$F$26,P14)=0,COUNTIFS($F$2:$F$26,P14,$Q$2:$Q$26,"Aprobada")&gt;0,AND(Resumen!$B$15="La cursada aprobada",COUNTIFS($F$2:$F$26,P14,$Q$2:$Q$26,"Cursada aprobada")&gt;0))),P14&amp;" ","")),""))</f>
        <v/>
      </c>
    </row>
    <row r="15" customFormat="false" ht="15" hidden="false" customHeight="false" outlineLevel="0" collapsed="false">
      <c r="A15" s="8" t="s">
        <v>240</v>
      </c>
      <c r="B15" s="8"/>
      <c r="C15" s="9" t="n">
        <v>2</v>
      </c>
      <c r="D15" s="9" t="n">
        <v>2</v>
      </c>
      <c r="E15" s="9" t="s">
        <v>65</v>
      </c>
      <c r="F15" s="9" t="n">
        <v>251</v>
      </c>
      <c r="G15" s="8" t="s">
        <v>181</v>
      </c>
      <c r="H15" s="9" t="s">
        <v>61</v>
      </c>
      <c r="I15" s="9" t="n">
        <v>6</v>
      </c>
      <c r="J15" s="9"/>
      <c r="K15" s="9" t="n">
        <v>96</v>
      </c>
      <c r="L15" s="9" t="n">
        <v>114</v>
      </c>
      <c r="M15" s="9"/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cursada",IF(AND(OR(L15="",COUNTIF($F$2:$F$26,L15)=0,COUNTIFS($F$2:$F$26,L15,$Q$2:$Q$26,"Aprobada")&gt;0,AND(Resumen!$B$15="La cursada aprobada",COUNTIFS($F$2:$F$26,L15,$Q$2:$Q$26,"Cursada aprobada")&gt;0)),OR(M15="",COUNTIF($F$2:$F$26,M15)=0,COUNTIFS($F$2:$F$26,M15,$Q$2:$Q$26,"Aprobada")&gt;0,AND(Resumen!$B$15="La cursada aprobada",COUNTIFS($F$2:$F$26,M15,$Q$2:$Q$26,"Cursada aprobada")&gt;0)),OR(N15="",COUNTIF($F$2:$F$26,N15)=0,COUNTIFS($F$2:$F$26,N15,$Q$2:$Q$26,"Aprobada")&gt;0,AND(Resumen!$B$15="La cursada aprobada",COUNTIFS($F$2:$F$26,N15,$Q$2:$Q$26,"Cursada aprobada")&gt;0)),OR(O15="",COUNTIF($F$2:$F$26,O15)=0,COUNTIFS($F$2:$F$26,O15,$Q$2:$Q$26,"Aprobada")&gt;0,AND(Resumen!$B$15="La cursada aprobada",COUNTIFS($F$2:$F$26,O15,$Q$2:$Q$26,"Cursada aprobada")&gt;0)),OR(P15="",COUNTIF($F$2:$F$26,P15)=0,COUNTIFS($F$2:$F$26,P15,$Q$2:$Q$26,"Aprobada")&gt;0,AND(Resumen!$B$15="La cursada aprobada",COUNTIFS($F$2:$F$26,P15,$Q$2:$Q$26,"Cursada aprobada")&gt;0))),"Sí","No")))</f>
        <v>No</v>
      </c>
      <c r="S15" s="8" t="str">
        <f aca="false">TRIM(IF(NOT(OR(L15="",COUNTIF($F$2:$F$26,L15)=0,COUNTIFS($F$2:$F$26,L15,$Q$2:$Q$26,"Aprobada")&gt;0,AND(Resumen!$B$15="La cursada aprobada",COUNTIFS($F$2:$F$26,L15,$Q$2:$Q$26,"Cursada aprobada")&gt;0))),L15&amp;" ","")&amp;IF(NOT(OR(M15="",COUNTIF($F$2:$F$26,M15)=0,COUNTIFS($F$2:$F$26,M15,$Q$2:$Q$26,"Aprobada")&gt;0,AND(Resumen!$B$15="La cursada aprobada",COUNTIFS($F$2:$F$26,M15,$Q$2:$Q$26,"Cursada aprobada")&gt;0))),M15&amp;" ","")&amp;IF(NOT(OR(N15="",COUNTIF($F$2:$F$26,N15)=0,COUNTIFS($F$2:$F$26,N15,$Q$2:$Q$26,"Aprobada")&gt;0,AND(Resumen!$B$15="La cursada aprobada",COUNTIFS($F$2:$F$26,N15,$Q$2:$Q$26,"Cursada aprobada")&gt;0))),N15&amp;" ","")&amp;IF(NOT(OR(O15="",COUNTIF($F$2:$F$26,O15)=0,COUNTIFS($F$2:$F$26,O15,$Q$2:$Q$26,"Aprobada")&gt;0,AND(Resumen!$B$15="La cursada aprobada",COUNTIFS($F$2:$F$26,O15,$Q$2:$Q$26,"Cursada aprobada")&gt;0))),O15&amp;" ","")&amp;IF(NOT(OR(P15="",COUNTIF($F$2:$F$26,P15)=0,COUNTIFS($F$2:$F$26,P15,$Q$2:$Q$26,"Aprobada")&gt;0,AND(Resumen!$B$15="La cursada aprobada",COUNTIFS($F$2:$F$26,P15,$Q$2:$Q$26,"Cursada aprobada")&gt;0))),P15&amp;" ",""))</f>
        <v>114</v>
      </c>
      <c r="T15" s="9" t="str">
        <f aca="false">IF(Q15="Cursada aprobada",IF(AND(OR(L15="",COUNTIF($F$2:$F$26,L15)=0,COUNTIFS($F$2:$F$26,L15,$Q$2:$Q$26,"Aprobada")&gt;0),OR(M15="",COUNTIF($F$2:$F$26,M15)=0,COUNTIFS($F$2:$F$26,M15,$Q$2:$Q$26,"Aprobada")&gt;0),OR(N15="",COUNTIF($F$2:$F$26,N15)=0,COUNTIFS($F$2:$F$26,N15,$Q$2:$Q$26,"Aprobada")&gt;0),OR(O15="",COUNTIF($F$2:$F$26,O15)=0,COUNTIFS($F$2:$F$26,O15,$Q$2:$Q$26,"Aprobada")&gt;0),OR(P15="",COUNTIF($F$2:$F$26,P15)=0,COUNTIFS($F$2:$F$26,P15,$Q$2:$Q$26,"Aprobada")&gt;0)),"Sí","No"),"")</f>
        <v/>
      </c>
      <c r="U15" s="9" t="str">
        <f aca="false">IF(Q15="Aprobada",TRIM(IF(NOT(OR(L15="",COUNTIF($F$2:$F$26,L15)=0,COUNTIFS($F$2:$F$26,L15,$Q$2:$Q$26,"Aprobada")&gt;0)),L15&amp;" ","")&amp;IF(NOT(OR(M15="",COUNTIF($F$2:$F$26,M15)=0,COUNTIFS($F$2:$F$26,M15,$Q$2:$Q$26,"Aprobada")&gt;0)),M15&amp;" ","")&amp;IF(NOT(OR(N15="",COUNTIF($F$2:$F$26,N15)=0,COUNTIFS($F$2:$F$26,N15,$Q$2:$Q$26,"Aprobada")&gt;0)),N15&amp;" ","")&amp;IF(NOT(OR(O15="",COUNTIF($F$2:$F$26,O15)=0,COUNTIFS($F$2:$F$26,O15,$Q$2:$Q$26,"Aprobada")&gt;0)),O15&amp;" ","")&amp;IF(NOT(OR(P15="",COUNTIF($F$2:$F$26,P15)=0,COUNTIFS($F$2:$F$26,P15,$Q$2:$Q$26,"Aprobada")&gt;0)),P15&amp;" ","")),IF(Q15="Cursada aprobada",TRIM(IF(NOT(OR(L15="",COUNTIF($F$2:$F$26,L15)=0,COUNTIFS($F$2:$F$26,L15,$Q$2:$Q$26,"Aprobada")&gt;0,AND(Resumen!$B$15="La cursada aprobada",COUNTIFS($F$2:$F$26,L15,$Q$2:$Q$26,"Cursada aprobada")&gt;0))),L15&amp;" ","")&amp;IF(NOT(OR(M15="",COUNTIF($F$2:$F$26,M15)=0,COUNTIFS($F$2:$F$26,M15,$Q$2:$Q$26,"Aprobada")&gt;0,AND(Resumen!$B$15="La cursada aprobada",COUNTIFS($F$2:$F$26,M15,$Q$2:$Q$26,"Cursada aprobada")&gt;0))),M15&amp;" ","")&amp;IF(NOT(OR(N15="",COUNTIF($F$2:$F$26,N15)=0,COUNTIFS($F$2:$F$26,N15,$Q$2:$Q$26,"Aprobada")&gt;0,AND(Resumen!$B$15="La cursada aprobada",COUNTIFS($F$2:$F$26,N15,$Q$2:$Q$26,"Cursada aprobada")&gt;0))),N15&amp;" ","")&amp;IF(NOT(OR(O15="",COUNTIF($F$2:$F$26,O15)=0,COUNTIFS($F$2:$F$26,O15,$Q$2:$Q$26,"Aprobada")&gt;0,AND(Resumen!$B$15="La cursada aprobada",COUNTIFS($F$2:$F$26,O15,$Q$2:$Q$26,"Cursada aprobada")&gt;0))),O15&amp;" ","")&amp;IF(NOT(OR(P15="",COUNTIF($F$2:$F$26,P15)=0,COUNTIFS($F$2:$F$26,P15,$Q$2:$Q$26,"Aprobada")&gt;0,AND(Resumen!$B$15="La cursada aprobada",COUNTIFS($F$2:$F$26,P15,$Q$2:$Q$26,"Cursada aprobada")&gt;0))),P15&amp;" ","")),""))</f>
        <v/>
      </c>
    </row>
    <row r="16" customFormat="false" ht="15" hidden="false" customHeight="false" outlineLevel="0" collapsed="false">
      <c r="A16" s="8" t="s">
        <v>240</v>
      </c>
      <c r="B16" s="8"/>
      <c r="C16" s="9" t="n">
        <v>2</v>
      </c>
      <c r="D16" s="9" t="n">
        <v>2</v>
      </c>
      <c r="E16" s="9" t="s">
        <v>77</v>
      </c>
      <c r="F16" s="9" t="n">
        <v>1112</v>
      </c>
      <c r="G16" s="8" t="s">
        <v>273</v>
      </c>
      <c r="H16" s="9" t="s">
        <v>71</v>
      </c>
      <c r="I16" s="9" t="n">
        <v>4</v>
      </c>
      <c r="J16" s="9"/>
      <c r="K16" s="9" t="n">
        <v>64</v>
      </c>
      <c r="L16" s="9" t="n">
        <v>1123</v>
      </c>
      <c r="M16" s="9" t="n">
        <v>1244</v>
      </c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cursada",IF(AND(OR(L16="",COUNTIF($F$2:$F$26,L16)=0,COUNTIFS($F$2:$F$26,L16,$Q$2:$Q$26,"Aprobada")&gt;0,AND(Resumen!$B$15="La cursada aprobada",COUNTIFS($F$2:$F$26,L16,$Q$2:$Q$26,"Cursada aprobada")&gt;0)),OR(M16="",COUNTIF($F$2:$F$26,M16)=0,COUNTIFS($F$2:$F$26,M16,$Q$2:$Q$26,"Aprobada")&gt;0,AND(Resumen!$B$15="La cursada aprobada",COUNTIFS($F$2:$F$26,M16,$Q$2:$Q$26,"Cursada aprobada")&gt;0)),OR(N16="",COUNTIF($F$2:$F$26,N16)=0,COUNTIFS($F$2:$F$26,N16,$Q$2:$Q$26,"Aprobada")&gt;0,AND(Resumen!$B$15="La cursada aprobada",COUNTIFS($F$2:$F$26,N16,$Q$2:$Q$26,"Cursada aprobada")&gt;0)),OR(O16="",COUNTIF($F$2:$F$26,O16)=0,COUNTIFS($F$2:$F$26,O16,$Q$2:$Q$26,"Aprobada")&gt;0,AND(Resumen!$B$15="La cursada aprobada",COUNTIFS($F$2:$F$26,O16,$Q$2:$Q$26,"Cursada aprobada")&gt;0)),OR(P16="",COUNTIF($F$2:$F$26,P16)=0,COUNTIFS($F$2:$F$26,P16,$Q$2:$Q$26,"Aprobada")&gt;0,AND(Resumen!$B$15="La cursada aprobada",COUNTIFS($F$2:$F$26,P16,$Q$2:$Q$26,"Cursada aprobada")&gt;0))),"Sí","No")))</f>
        <v>No</v>
      </c>
      <c r="S16" s="8" t="str">
        <f aca="false">TRIM(IF(NOT(OR(L16="",COUNTIF($F$2:$F$26,L16)=0,COUNTIFS($F$2:$F$26,L16,$Q$2:$Q$26,"Aprobada")&gt;0,AND(Resumen!$B$15="La cursada aprobada",COUNTIFS($F$2:$F$26,L16,$Q$2:$Q$26,"Cursada aprobada")&gt;0))),L16&amp;" ","")&amp;IF(NOT(OR(M16="",COUNTIF($F$2:$F$26,M16)=0,COUNTIFS($F$2:$F$26,M16,$Q$2:$Q$26,"Aprobada")&gt;0,AND(Resumen!$B$15="La cursada aprobada",COUNTIFS($F$2:$F$26,M16,$Q$2:$Q$26,"Cursada aprobada")&gt;0))),M16&amp;" ","")&amp;IF(NOT(OR(N16="",COUNTIF($F$2:$F$26,N16)=0,COUNTIFS($F$2:$F$26,N16,$Q$2:$Q$26,"Aprobada")&gt;0,AND(Resumen!$B$15="La cursada aprobada",COUNTIFS($F$2:$F$26,N16,$Q$2:$Q$26,"Cursada aprobada")&gt;0))),N16&amp;" ","")&amp;IF(NOT(OR(O16="",COUNTIF($F$2:$F$26,O16)=0,COUNTIFS($F$2:$F$26,O16,$Q$2:$Q$26,"Aprobada")&gt;0,AND(Resumen!$B$15="La cursada aprobada",COUNTIFS($F$2:$F$26,O16,$Q$2:$Q$26,"Cursada aprobada")&gt;0))),O16&amp;" ","")&amp;IF(NOT(OR(P16="",COUNTIF($F$2:$F$26,P16)=0,COUNTIFS($F$2:$F$26,P16,$Q$2:$Q$26,"Aprobada")&gt;0,AND(Resumen!$B$15="La cursada aprobada",COUNTIFS($F$2:$F$26,P16,$Q$2:$Q$26,"Cursada aprobada")&gt;0))),P16&amp;" ",""))</f>
        <v>1123 1244</v>
      </c>
      <c r="T16" s="9" t="str">
        <f aca="false">IF(Q16="Cursada aprobada",IF(AND(OR(L16="",COUNTIF($F$2:$F$26,L16)=0,COUNTIFS($F$2:$F$26,L16,$Q$2:$Q$26,"Aprobada")&gt;0),OR(M16="",COUNTIF($F$2:$F$26,M16)=0,COUNTIFS($F$2:$F$26,M16,$Q$2:$Q$26,"Aprobada")&gt;0),OR(N16="",COUNTIF($F$2:$F$26,N16)=0,COUNTIFS($F$2:$F$26,N16,$Q$2:$Q$26,"Aprobada")&gt;0),OR(O16="",COUNTIF($F$2:$F$26,O16)=0,COUNTIFS($F$2:$F$26,O16,$Q$2:$Q$26,"Aprobada")&gt;0),OR(P16="",COUNTIF($F$2:$F$26,P16)=0,COUNTIFS($F$2:$F$26,P16,$Q$2:$Q$26,"Aprobada")&gt;0)),"Sí","No"),"")</f>
        <v/>
      </c>
      <c r="U16" s="9" t="str">
        <f aca="false">IF(Q16="Aprobada",TRIM(IF(NOT(OR(L16="",COUNTIF($F$2:$F$26,L16)=0,COUNTIFS($F$2:$F$26,L16,$Q$2:$Q$26,"Aprobada")&gt;0)),L16&amp;" ","")&amp;IF(NOT(OR(M16="",COUNTIF($F$2:$F$26,M16)=0,COUNTIFS($F$2:$F$26,M16,$Q$2:$Q$26,"Aprobada")&gt;0)),M16&amp;" ","")&amp;IF(NOT(OR(N16="",COUNTIF($F$2:$F$26,N16)=0,COUNTIFS($F$2:$F$26,N16,$Q$2:$Q$26,"Aprobada")&gt;0)),N16&amp;" ","")&amp;IF(NOT(OR(O16="",COUNTIF($F$2:$F$26,O16)=0,COUNTIFS($F$2:$F$26,O16,$Q$2:$Q$26,"Aprobada")&gt;0)),O16&amp;" ","")&amp;IF(NOT(OR(P16="",COUNTIF($F$2:$F$26,P16)=0,COUNTIFS($F$2:$F$26,P16,$Q$2:$Q$26,"Aprobada")&gt;0)),P16&amp;" ","")),IF(Q16="Cursada aprobada",TRIM(IF(NOT(OR(L16="",COUNTIF($F$2:$F$26,L16)=0,COUNTIFS($F$2:$F$26,L16,$Q$2:$Q$26,"Aprobada")&gt;0,AND(Resumen!$B$15="La cursada aprobada",COUNTIFS($F$2:$F$26,L16,$Q$2:$Q$26,"Cursada aprobada")&gt;0))),L16&amp;" ","")&amp;IF(NOT(OR(M16="",COUNTIF($F$2:$F$26,M16)=0,COUNTIFS($F$2:$F$26,M16,$Q$2:$Q$26,"Aprobada")&gt;0,AND(Resumen!$B$15="La cursada aprobada",COUNTIFS($F$2:$F$26,M16,$Q$2:$Q$26,"Cursada aprobada")&gt;0))),M16&amp;" ","")&amp;IF(NOT(OR(N16="",COUNTIF($F$2:$F$26,N16)=0,COUNTIFS($F$2:$F$26,N16,$Q$2:$Q$26,"Aprobada")&gt;0,AND(Resumen!$B$15="La cursada aprobada",COUNTIFS($F$2:$F$26,N16,$Q$2:$Q$26,"Cursada aprobada")&gt;0))),N16&amp;" ","")&amp;IF(NOT(OR(O16="",COUNTIF($F$2:$F$26,O16)=0,COUNTIFS($F$2:$F$26,O16,$Q$2:$Q$26,"Aprobada")&gt;0,AND(Resumen!$B$15="La cursada aprobada",COUNTIFS($F$2:$F$26,O16,$Q$2:$Q$26,"Cursada aprobada")&gt;0))),O16&amp;" ","")&amp;IF(NOT(OR(P16="",COUNTIF($F$2:$F$26,P16)=0,COUNTIFS($F$2:$F$26,P16,$Q$2:$Q$26,"Aprobada")&gt;0,AND(Resumen!$B$15="La cursada aprobada",COUNTIFS($F$2:$F$26,P16,$Q$2:$Q$26,"Cursada aprobada")&gt;0))),P16&amp;" ","")),""))</f>
        <v/>
      </c>
    </row>
    <row r="17" customFormat="false" ht="15" hidden="false" customHeight="false" outlineLevel="0" collapsed="false">
      <c r="A17" s="8" t="s">
        <v>240</v>
      </c>
      <c r="B17" s="8"/>
      <c r="C17" s="9" t="n">
        <v>2</v>
      </c>
      <c r="D17" s="9" t="n">
        <v>2</v>
      </c>
      <c r="E17" s="9" t="s">
        <v>67</v>
      </c>
      <c r="F17" s="9" t="n">
        <v>1114</v>
      </c>
      <c r="G17" s="8" t="s">
        <v>274</v>
      </c>
      <c r="H17" s="9" t="s">
        <v>61</v>
      </c>
      <c r="I17" s="9" t="n">
        <v>6</v>
      </c>
      <c r="J17" s="9"/>
      <c r="K17" s="9" t="n">
        <v>96</v>
      </c>
      <c r="L17" s="9" t="n">
        <v>1110</v>
      </c>
      <c r="M17" s="9"/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cursada",IF(AND(OR(L17="",COUNTIF($F$2:$F$26,L17)=0,COUNTIFS($F$2:$F$26,L17,$Q$2:$Q$26,"Aprobada")&gt;0,AND(Resumen!$B$15="La cursada aprobada",COUNTIFS($F$2:$F$26,L17,$Q$2:$Q$26,"Cursada aprobada")&gt;0)),OR(M17="",COUNTIF($F$2:$F$26,M17)=0,COUNTIFS($F$2:$F$26,M17,$Q$2:$Q$26,"Aprobada")&gt;0,AND(Resumen!$B$15="La cursada aprobada",COUNTIFS($F$2:$F$26,M17,$Q$2:$Q$26,"Cursada aprobada")&gt;0)),OR(N17="",COUNTIF($F$2:$F$26,N17)=0,COUNTIFS($F$2:$F$26,N17,$Q$2:$Q$26,"Aprobada")&gt;0,AND(Resumen!$B$15="La cursada aprobada",COUNTIFS($F$2:$F$26,N17,$Q$2:$Q$26,"Cursada aprobada")&gt;0)),OR(O17="",COUNTIF($F$2:$F$26,O17)=0,COUNTIFS($F$2:$F$26,O17,$Q$2:$Q$26,"Aprobada")&gt;0,AND(Resumen!$B$15="La cursada aprobada",COUNTIFS($F$2:$F$26,O17,$Q$2:$Q$26,"Cursada aprobada")&gt;0)),OR(P17="",COUNTIF($F$2:$F$26,P17)=0,COUNTIFS($F$2:$F$26,P17,$Q$2:$Q$26,"Aprobada")&gt;0,AND(Resumen!$B$15="La cursada aprobada",COUNTIFS($F$2:$F$26,P17,$Q$2:$Q$26,"Cursada aprobada")&gt;0))),"Sí","No")))</f>
        <v>No</v>
      </c>
      <c r="S17" s="8" t="str">
        <f aca="false">TRIM(IF(NOT(OR(L17="",COUNTIF($F$2:$F$26,L17)=0,COUNTIFS($F$2:$F$26,L17,$Q$2:$Q$26,"Aprobada")&gt;0,AND(Resumen!$B$15="La cursada aprobada",COUNTIFS($F$2:$F$26,L17,$Q$2:$Q$26,"Cursada aprobada")&gt;0))),L17&amp;" ","")&amp;IF(NOT(OR(M17="",COUNTIF($F$2:$F$26,M17)=0,COUNTIFS($F$2:$F$26,M17,$Q$2:$Q$26,"Aprobada")&gt;0,AND(Resumen!$B$15="La cursada aprobada",COUNTIFS($F$2:$F$26,M17,$Q$2:$Q$26,"Cursada aprobada")&gt;0))),M17&amp;" ","")&amp;IF(NOT(OR(N17="",COUNTIF($F$2:$F$26,N17)=0,COUNTIFS($F$2:$F$26,N17,$Q$2:$Q$26,"Aprobada")&gt;0,AND(Resumen!$B$15="La cursada aprobada",COUNTIFS($F$2:$F$26,N17,$Q$2:$Q$26,"Cursada aprobada")&gt;0))),N17&amp;" ","")&amp;IF(NOT(OR(O17="",COUNTIF($F$2:$F$26,O17)=0,COUNTIFS($F$2:$F$26,O17,$Q$2:$Q$26,"Aprobada")&gt;0,AND(Resumen!$B$15="La cursada aprobada",COUNTIFS($F$2:$F$26,O17,$Q$2:$Q$26,"Cursada aprobada")&gt;0))),O17&amp;" ","")&amp;IF(NOT(OR(P17="",COUNTIF($F$2:$F$26,P17)=0,COUNTIFS($F$2:$F$26,P17,$Q$2:$Q$26,"Aprobada")&gt;0,AND(Resumen!$B$15="La cursada aprobada",COUNTIFS($F$2:$F$26,P17,$Q$2:$Q$26,"Cursada aprobada")&gt;0))),P17&amp;" ",""))</f>
        <v>1110</v>
      </c>
      <c r="T17" s="9" t="str">
        <f aca="false">IF(Q17="Cursada aprobada",IF(AND(OR(L17="",COUNTIF($F$2:$F$26,L17)=0,COUNTIFS($F$2:$F$26,L17,$Q$2:$Q$26,"Aprobada")&gt;0),OR(M17="",COUNTIF($F$2:$F$26,M17)=0,COUNTIFS($F$2:$F$26,M17,$Q$2:$Q$26,"Aprobada")&gt;0),OR(N17="",COUNTIF($F$2:$F$26,N17)=0,COUNTIFS($F$2:$F$26,N17,$Q$2:$Q$26,"Aprobada")&gt;0),OR(O17="",COUNTIF($F$2:$F$26,O17)=0,COUNTIFS($F$2:$F$26,O17,$Q$2:$Q$26,"Aprobada")&gt;0),OR(P17="",COUNTIF($F$2:$F$26,P17)=0,COUNTIFS($F$2:$F$26,P17,$Q$2:$Q$26,"Aprobada")&gt;0)),"Sí","No"),"")</f>
        <v/>
      </c>
      <c r="U17" s="9" t="str">
        <f aca="false">IF(Q17="Aprobada",TRIM(IF(NOT(OR(L17="",COUNTIF($F$2:$F$26,L17)=0,COUNTIFS($F$2:$F$26,L17,$Q$2:$Q$26,"Aprobada")&gt;0)),L17&amp;" ","")&amp;IF(NOT(OR(M17="",COUNTIF($F$2:$F$26,M17)=0,COUNTIFS($F$2:$F$26,M17,$Q$2:$Q$26,"Aprobada")&gt;0)),M17&amp;" ","")&amp;IF(NOT(OR(N17="",COUNTIF($F$2:$F$26,N17)=0,COUNTIFS($F$2:$F$26,N17,$Q$2:$Q$26,"Aprobada")&gt;0)),N17&amp;" ","")&amp;IF(NOT(OR(O17="",COUNTIF($F$2:$F$26,O17)=0,COUNTIFS($F$2:$F$26,O17,$Q$2:$Q$26,"Aprobada")&gt;0)),O17&amp;" ","")&amp;IF(NOT(OR(P17="",COUNTIF($F$2:$F$26,P17)=0,COUNTIFS($F$2:$F$26,P17,$Q$2:$Q$26,"Aprobada")&gt;0)),P17&amp;" ","")),IF(Q17="Cursada aprobada",TRIM(IF(NOT(OR(L17="",COUNTIF($F$2:$F$26,L17)=0,COUNTIFS($F$2:$F$26,L17,$Q$2:$Q$26,"Aprobada")&gt;0,AND(Resumen!$B$15="La cursada aprobada",COUNTIFS($F$2:$F$26,L17,$Q$2:$Q$26,"Cursada aprobada")&gt;0))),L17&amp;" ","")&amp;IF(NOT(OR(M17="",COUNTIF($F$2:$F$26,M17)=0,COUNTIFS($F$2:$F$26,M17,$Q$2:$Q$26,"Aprobada")&gt;0,AND(Resumen!$B$15="La cursada aprobada",COUNTIFS($F$2:$F$26,M17,$Q$2:$Q$26,"Cursada aprobada")&gt;0))),M17&amp;" ","")&amp;IF(NOT(OR(N17="",COUNTIF($F$2:$F$26,N17)=0,COUNTIFS($F$2:$F$26,N17,$Q$2:$Q$26,"Aprobada")&gt;0,AND(Resumen!$B$15="La cursada aprobada",COUNTIFS($F$2:$F$26,N17,$Q$2:$Q$26,"Cursada aprobada")&gt;0))),N17&amp;" ","")&amp;IF(NOT(OR(O17="",COUNTIF($F$2:$F$26,O17)=0,COUNTIFS($F$2:$F$26,O17,$Q$2:$Q$26,"Aprobada")&gt;0,AND(Resumen!$B$15="La cursada aprobada",COUNTIFS($F$2:$F$26,O17,$Q$2:$Q$26,"Cursada aprobada")&gt;0))),O17&amp;" ","")&amp;IF(NOT(OR(P17="",COUNTIF($F$2:$F$26,P17)=0,COUNTIFS($F$2:$F$26,P17,$Q$2:$Q$26,"Aprobada")&gt;0,AND(Resumen!$B$15="La cursada aprobada",COUNTIFS($F$2:$F$26,P17,$Q$2:$Q$26,"Cursada aprobada")&gt;0))),P17&amp;" ","")),""))</f>
        <v/>
      </c>
    </row>
    <row r="18" customFormat="false" ht="15" hidden="false" customHeight="false" outlineLevel="0" collapsed="false">
      <c r="A18" s="8" t="s">
        <v>240</v>
      </c>
      <c r="B18" s="8"/>
      <c r="C18" s="9" t="n">
        <v>3</v>
      </c>
      <c r="D18" s="9" t="n">
        <v>1</v>
      </c>
      <c r="E18" s="9" t="s">
        <v>275</v>
      </c>
      <c r="F18" s="9" t="n">
        <v>1115</v>
      </c>
      <c r="G18" s="8" t="s">
        <v>276</v>
      </c>
      <c r="H18" s="9" t="s">
        <v>61</v>
      </c>
      <c r="I18" s="9" t="n">
        <v>4</v>
      </c>
      <c r="J18" s="9"/>
      <c r="K18" s="9" t="n">
        <v>64</v>
      </c>
      <c r="L18" s="9" t="n">
        <v>1110</v>
      </c>
      <c r="M18" s="9"/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cursada",IF(AND(OR(L18="",COUNTIF($F$2:$F$26,L18)=0,COUNTIFS($F$2:$F$26,L18,$Q$2:$Q$26,"Aprobada")&gt;0,AND(Resumen!$B$15="La cursada aprobada",COUNTIFS($F$2:$F$26,L18,$Q$2:$Q$26,"Cursada aprobada")&gt;0)),OR(M18="",COUNTIF($F$2:$F$26,M18)=0,COUNTIFS($F$2:$F$26,M18,$Q$2:$Q$26,"Aprobada")&gt;0,AND(Resumen!$B$15="La cursada aprobada",COUNTIFS($F$2:$F$26,M18,$Q$2:$Q$26,"Cursada aprobada")&gt;0)),OR(N18="",COUNTIF($F$2:$F$26,N18)=0,COUNTIFS($F$2:$F$26,N18,$Q$2:$Q$26,"Aprobada")&gt;0,AND(Resumen!$B$15="La cursada aprobada",COUNTIFS($F$2:$F$26,N18,$Q$2:$Q$26,"Cursada aprobada")&gt;0)),OR(O18="",COUNTIF($F$2:$F$26,O18)=0,COUNTIFS($F$2:$F$26,O18,$Q$2:$Q$26,"Aprobada")&gt;0,AND(Resumen!$B$15="La cursada aprobada",COUNTIFS($F$2:$F$26,O18,$Q$2:$Q$26,"Cursada aprobada")&gt;0)),OR(P18="",COUNTIF($F$2:$F$26,P18)=0,COUNTIFS($F$2:$F$26,P18,$Q$2:$Q$26,"Aprobada")&gt;0,AND(Resumen!$B$15="La cursada aprobada",COUNTIFS($F$2:$F$26,P18,$Q$2:$Q$26,"Cursada aprobada")&gt;0))),"Sí","No")))</f>
        <v>No</v>
      </c>
      <c r="S18" s="8" t="str">
        <f aca="false">TRIM(IF(NOT(OR(L18="",COUNTIF($F$2:$F$26,L18)=0,COUNTIFS($F$2:$F$26,L18,$Q$2:$Q$26,"Aprobada")&gt;0,AND(Resumen!$B$15="La cursada aprobada",COUNTIFS($F$2:$F$26,L18,$Q$2:$Q$26,"Cursada aprobada")&gt;0))),L18&amp;" ","")&amp;IF(NOT(OR(M18="",COUNTIF($F$2:$F$26,M18)=0,COUNTIFS($F$2:$F$26,M18,$Q$2:$Q$26,"Aprobada")&gt;0,AND(Resumen!$B$15="La cursada aprobada",COUNTIFS($F$2:$F$26,M18,$Q$2:$Q$26,"Cursada aprobada")&gt;0))),M18&amp;" ","")&amp;IF(NOT(OR(N18="",COUNTIF($F$2:$F$26,N18)=0,COUNTIFS($F$2:$F$26,N18,$Q$2:$Q$26,"Aprobada")&gt;0,AND(Resumen!$B$15="La cursada aprobada",COUNTIFS($F$2:$F$26,N18,$Q$2:$Q$26,"Cursada aprobada")&gt;0))),N18&amp;" ","")&amp;IF(NOT(OR(O18="",COUNTIF($F$2:$F$26,O18)=0,COUNTIFS($F$2:$F$26,O18,$Q$2:$Q$26,"Aprobada")&gt;0,AND(Resumen!$B$15="La cursada aprobada",COUNTIFS($F$2:$F$26,O18,$Q$2:$Q$26,"Cursada aprobada")&gt;0))),O18&amp;" ","")&amp;IF(NOT(OR(P18="",COUNTIF($F$2:$F$26,P18)=0,COUNTIFS($F$2:$F$26,P18,$Q$2:$Q$26,"Aprobada")&gt;0,AND(Resumen!$B$15="La cursada aprobada",COUNTIFS($F$2:$F$26,P18,$Q$2:$Q$26,"Cursada aprobada")&gt;0))),P18&amp;" ",""))</f>
        <v>1110</v>
      </c>
      <c r="T18" s="9" t="str">
        <f aca="false">IF(Q18="Cursada aprobada",IF(AND(OR(L18="",COUNTIF($F$2:$F$26,L18)=0,COUNTIFS($F$2:$F$26,L18,$Q$2:$Q$26,"Aprobada")&gt;0),OR(M18="",COUNTIF($F$2:$F$26,M18)=0,COUNTIFS($F$2:$F$26,M18,$Q$2:$Q$26,"Aprobada")&gt;0),OR(N18="",COUNTIF($F$2:$F$26,N18)=0,COUNTIFS($F$2:$F$26,N18,$Q$2:$Q$26,"Aprobada")&gt;0),OR(O18="",COUNTIF($F$2:$F$26,O18)=0,COUNTIFS($F$2:$F$26,O18,$Q$2:$Q$26,"Aprobada")&gt;0),OR(P18="",COUNTIF($F$2:$F$26,P18)=0,COUNTIFS($F$2:$F$26,P18,$Q$2:$Q$26,"Aprobada")&gt;0)),"Sí","No"),"")</f>
        <v/>
      </c>
      <c r="U18" s="9" t="str">
        <f aca="false">IF(Q18="Aprobada",TRIM(IF(NOT(OR(L18="",COUNTIF($F$2:$F$26,L18)=0,COUNTIFS($F$2:$F$26,L18,$Q$2:$Q$26,"Aprobada")&gt;0)),L18&amp;" ","")&amp;IF(NOT(OR(M18="",COUNTIF($F$2:$F$26,M18)=0,COUNTIFS($F$2:$F$26,M18,$Q$2:$Q$26,"Aprobada")&gt;0)),M18&amp;" ","")&amp;IF(NOT(OR(N18="",COUNTIF($F$2:$F$26,N18)=0,COUNTIFS($F$2:$F$26,N18,$Q$2:$Q$26,"Aprobada")&gt;0)),N18&amp;" ","")&amp;IF(NOT(OR(O18="",COUNTIF($F$2:$F$26,O18)=0,COUNTIFS($F$2:$F$26,O18,$Q$2:$Q$26,"Aprobada")&gt;0)),O18&amp;" ","")&amp;IF(NOT(OR(P18="",COUNTIF($F$2:$F$26,P18)=0,COUNTIFS($F$2:$F$26,P18,$Q$2:$Q$26,"Aprobada")&gt;0)),P18&amp;" ","")),IF(Q18="Cursada aprobada",TRIM(IF(NOT(OR(L18="",COUNTIF($F$2:$F$26,L18)=0,COUNTIFS($F$2:$F$26,L18,$Q$2:$Q$26,"Aprobada")&gt;0,AND(Resumen!$B$15="La cursada aprobada",COUNTIFS($F$2:$F$26,L18,$Q$2:$Q$26,"Cursada aprobada")&gt;0))),L18&amp;" ","")&amp;IF(NOT(OR(M18="",COUNTIF($F$2:$F$26,M18)=0,COUNTIFS($F$2:$F$26,M18,$Q$2:$Q$26,"Aprobada")&gt;0,AND(Resumen!$B$15="La cursada aprobada",COUNTIFS($F$2:$F$26,M18,$Q$2:$Q$26,"Cursada aprobada")&gt;0))),M18&amp;" ","")&amp;IF(NOT(OR(N18="",COUNTIF($F$2:$F$26,N18)=0,COUNTIFS($F$2:$F$26,N18,$Q$2:$Q$26,"Aprobada")&gt;0,AND(Resumen!$B$15="La cursada aprobada",COUNTIFS($F$2:$F$26,N18,$Q$2:$Q$26,"Cursada aprobada")&gt;0))),N18&amp;" ","")&amp;IF(NOT(OR(O18="",COUNTIF($F$2:$F$26,O18)=0,COUNTIFS($F$2:$F$26,O18,$Q$2:$Q$26,"Aprobada")&gt;0,AND(Resumen!$B$15="La cursada aprobada",COUNTIFS($F$2:$F$26,O18,$Q$2:$Q$26,"Cursada aprobada")&gt;0))),O18&amp;" ","")&amp;IF(NOT(OR(P18="",COUNTIF($F$2:$F$26,P18)=0,COUNTIFS($F$2:$F$26,P18,$Q$2:$Q$26,"Aprobada")&gt;0,AND(Resumen!$B$15="La cursada aprobada",COUNTIFS($F$2:$F$26,P18,$Q$2:$Q$26,"Cursada aprobada")&gt;0))),P18&amp;" ","")),""))</f>
        <v/>
      </c>
    </row>
    <row r="19" customFormat="false" ht="15" hidden="false" customHeight="false" outlineLevel="0" collapsed="false">
      <c r="A19" s="8" t="s">
        <v>240</v>
      </c>
      <c r="B19" s="8"/>
      <c r="C19" s="9" t="n">
        <v>3</v>
      </c>
      <c r="D19" s="9" t="n">
        <v>1</v>
      </c>
      <c r="E19" s="9" t="s">
        <v>63</v>
      </c>
      <c r="F19" s="9" t="n">
        <v>1117</v>
      </c>
      <c r="G19" s="8" t="s">
        <v>277</v>
      </c>
      <c r="H19" s="9" t="s">
        <v>61</v>
      </c>
      <c r="I19" s="9" t="n">
        <v>6</v>
      </c>
      <c r="J19" s="9"/>
      <c r="K19" s="9" t="n">
        <v>96</v>
      </c>
      <c r="L19" s="9" t="n">
        <v>101</v>
      </c>
      <c r="M19" s="9" t="n">
        <v>1111</v>
      </c>
      <c r="N19" s="9" t="n">
        <v>251</v>
      </c>
      <c r="O19" s="9"/>
      <c r="P19" s="9"/>
      <c r="Q19" s="10" t="s">
        <v>62</v>
      </c>
      <c r="R19" s="9" t="str">
        <f aca="false">IF(Q19="Aprobada","Ya aprobada",IF(Q19="Cursada aprobada","Ya cursada",IF(AND(OR(L19="",COUNTIF($F$2:$F$26,L19)=0,COUNTIFS($F$2:$F$26,L19,$Q$2:$Q$26,"Aprobada")&gt;0,AND(Resumen!$B$15="La cursada aprobada",COUNTIFS($F$2:$F$26,L19,$Q$2:$Q$26,"Cursada aprobada")&gt;0)),OR(M19="",COUNTIF($F$2:$F$26,M19)=0,COUNTIFS($F$2:$F$26,M19,$Q$2:$Q$26,"Aprobada")&gt;0,AND(Resumen!$B$15="La cursada aprobada",COUNTIFS($F$2:$F$26,M19,$Q$2:$Q$26,"Cursada aprobada")&gt;0)),OR(N19="",COUNTIF($F$2:$F$26,N19)=0,COUNTIFS($F$2:$F$26,N19,$Q$2:$Q$26,"Aprobada")&gt;0,AND(Resumen!$B$15="La cursada aprobada",COUNTIFS($F$2:$F$26,N19,$Q$2:$Q$26,"Cursada aprobada")&gt;0)),OR(O19="",COUNTIF($F$2:$F$26,O19)=0,COUNTIFS($F$2:$F$26,O19,$Q$2:$Q$26,"Aprobada")&gt;0,AND(Resumen!$B$15="La cursada aprobada",COUNTIFS($F$2:$F$26,O19,$Q$2:$Q$26,"Cursada aprobada")&gt;0)),OR(P19="",COUNTIF($F$2:$F$26,P19)=0,COUNTIFS($F$2:$F$26,P19,$Q$2:$Q$26,"Aprobada")&gt;0,AND(Resumen!$B$15="La cursada aprobada",COUNTIFS($F$2:$F$26,P19,$Q$2:$Q$26,"Cursada aprobada")&gt;0))),"Sí","No")))</f>
        <v>No</v>
      </c>
      <c r="S19" s="8" t="str">
        <f aca="false">TRIM(IF(NOT(OR(L19="",COUNTIF($F$2:$F$26,L19)=0,COUNTIFS($F$2:$F$26,L19,$Q$2:$Q$26,"Aprobada")&gt;0,AND(Resumen!$B$15="La cursada aprobada",COUNTIFS($F$2:$F$26,L19,$Q$2:$Q$26,"Cursada aprobada")&gt;0))),L19&amp;" ","")&amp;IF(NOT(OR(M19="",COUNTIF($F$2:$F$26,M19)=0,COUNTIFS($F$2:$F$26,M19,$Q$2:$Q$26,"Aprobada")&gt;0,AND(Resumen!$B$15="La cursada aprobada",COUNTIFS($F$2:$F$26,M19,$Q$2:$Q$26,"Cursada aprobada")&gt;0))),M19&amp;" ","")&amp;IF(NOT(OR(N19="",COUNTIF($F$2:$F$26,N19)=0,COUNTIFS($F$2:$F$26,N19,$Q$2:$Q$26,"Aprobada")&gt;0,AND(Resumen!$B$15="La cursada aprobada",COUNTIFS($F$2:$F$26,N19,$Q$2:$Q$26,"Cursada aprobada")&gt;0))),N19&amp;" ","")&amp;IF(NOT(OR(O19="",COUNTIF($F$2:$F$26,O19)=0,COUNTIFS($F$2:$F$26,O19,$Q$2:$Q$26,"Aprobada")&gt;0,AND(Resumen!$B$15="La cursada aprobada",COUNTIFS($F$2:$F$26,O19,$Q$2:$Q$26,"Cursada aprobada")&gt;0))),O19&amp;" ","")&amp;IF(NOT(OR(P19="",COUNTIF($F$2:$F$26,P19)=0,COUNTIFS($F$2:$F$26,P19,$Q$2:$Q$26,"Aprobada")&gt;0,AND(Resumen!$B$15="La cursada aprobada",COUNTIFS($F$2:$F$26,P19,$Q$2:$Q$26,"Cursada aprobada")&gt;0))),P19&amp;" ",""))</f>
        <v>101 1111 251</v>
      </c>
      <c r="T19" s="9" t="str">
        <f aca="false">IF(Q19="Cursada aprobada",IF(AND(OR(L19="",COUNTIF($F$2:$F$26,L19)=0,COUNTIFS($F$2:$F$26,L19,$Q$2:$Q$26,"Aprobada")&gt;0),OR(M19="",COUNTIF($F$2:$F$26,M19)=0,COUNTIFS($F$2:$F$26,M19,$Q$2:$Q$26,"Aprobada")&gt;0),OR(N19="",COUNTIF($F$2:$F$26,N19)=0,COUNTIFS($F$2:$F$26,N19,$Q$2:$Q$26,"Aprobada")&gt;0),OR(O19="",COUNTIF($F$2:$F$26,O19)=0,COUNTIFS($F$2:$F$26,O19,$Q$2:$Q$26,"Aprobada")&gt;0),OR(P19="",COUNTIF($F$2:$F$26,P19)=0,COUNTIFS($F$2:$F$26,P19,$Q$2:$Q$26,"Aprobada")&gt;0)),"Sí","No"),"")</f>
        <v/>
      </c>
      <c r="U19" s="9" t="str">
        <f aca="false">IF(Q19="Aprobada",TRIM(IF(NOT(OR(L19="",COUNTIF($F$2:$F$26,L19)=0,COUNTIFS($F$2:$F$26,L19,$Q$2:$Q$26,"Aprobada")&gt;0)),L19&amp;" ","")&amp;IF(NOT(OR(M19="",COUNTIF($F$2:$F$26,M19)=0,COUNTIFS($F$2:$F$26,M19,$Q$2:$Q$26,"Aprobada")&gt;0)),M19&amp;" ","")&amp;IF(NOT(OR(N19="",COUNTIF($F$2:$F$26,N19)=0,COUNTIFS($F$2:$F$26,N19,$Q$2:$Q$26,"Aprobada")&gt;0)),N19&amp;" ","")&amp;IF(NOT(OR(O19="",COUNTIF($F$2:$F$26,O19)=0,COUNTIFS($F$2:$F$26,O19,$Q$2:$Q$26,"Aprobada")&gt;0)),O19&amp;" ","")&amp;IF(NOT(OR(P19="",COUNTIF($F$2:$F$26,P19)=0,COUNTIFS($F$2:$F$26,P19,$Q$2:$Q$26,"Aprobada")&gt;0)),P19&amp;" ","")),IF(Q19="Cursada aprobada",TRIM(IF(NOT(OR(L19="",COUNTIF($F$2:$F$26,L19)=0,COUNTIFS($F$2:$F$26,L19,$Q$2:$Q$26,"Aprobada")&gt;0,AND(Resumen!$B$15="La cursada aprobada",COUNTIFS($F$2:$F$26,L19,$Q$2:$Q$26,"Cursada aprobada")&gt;0))),L19&amp;" ","")&amp;IF(NOT(OR(M19="",COUNTIF($F$2:$F$26,M19)=0,COUNTIFS($F$2:$F$26,M19,$Q$2:$Q$26,"Aprobada")&gt;0,AND(Resumen!$B$15="La cursada aprobada",COUNTIFS($F$2:$F$26,M19,$Q$2:$Q$26,"Cursada aprobada")&gt;0))),M19&amp;" ","")&amp;IF(NOT(OR(N19="",COUNTIF($F$2:$F$26,N19)=0,COUNTIFS($F$2:$F$26,N19,$Q$2:$Q$26,"Aprobada")&gt;0,AND(Resumen!$B$15="La cursada aprobada",COUNTIFS($F$2:$F$26,N19,$Q$2:$Q$26,"Cursada aprobada")&gt;0))),N19&amp;" ","")&amp;IF(NOT(OR(O19="",COUNTIF($F$2:$F$26,O19)=0,COUNTIFS($F$2:$F$26,O19,$Q$2:$Q$26,"Aprobada")&gt;0,AND(Resumen!$B$15="La cursada aprobada",COUNTIFS($F$2:$F$26,O19,$Q$2:$Q$26,"Cursada aprobada")&gt;0))),O19&amp;" ","")&amp;IF(NOT(OR(P19="",COUNTIF($F$2:$F$26,P19)=0,COUNTIFS($F$2:$F$26,P19,$Q$2:$Q$26,"Aprobada")&gt;0,AND(Resumen!$B$15="La cursada aprobada",COUNTIFS($F$2:$F$26,P19,$Q$2:$Q$26,"Cursada aprobada")&gt;0))),P19&amp;" ","")),""))</f>
        <v/>
      </c>
    </row>
    <row r="20" customFormat="false" ht="15" hidden="false" customHeight="false" outlineLevel="0" collapsed="false">
      <c r="A20" s="8" t="s">
        <v>240</v>
      </c>
      <c r="B20" s="8"/>
      <c r="C20" s="9" t="n">
        <v>3</v>
      </c>
      <c r="D20" s="9" t="n">
        <v>1</v>
      </c>
      <c r="E20" s="9" t="s">
        <v>59</v>
      </c>
      <c r="F20" s="9" t="n">
        <v>1116</v>
      </c>
      <c r="G20" s="8" t="s">
        <v>278</v>
      </c>
      <c r="H20" s="9" t="s">
        <v>61</v>
      </c>
      <c r="I20" s="9" t="n">
        <v>4</v>
      </c>
      <c r="J20" s="9"/>
      <c r="K20" s="9" t="n">
        <v>64</v>
      </c>
      <c r="L20" s="9" t="n">
        <v>101</v>
      </c>
      <c r="M20" s="9" t="n">
        <v>1110</v>
      </c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cursada",IF(AND(OR(L20="",COUNTIF($F$2:$F$26,L20)=0,COUNTIFS($F$2:$F$26,L20,$Q$2:$Q$26,"Aprobada")&gt;0,AND(Resumen!$B$15="La cursada aprobada",COUNTIFS($F$2:$F$26,L20,$Q$2:$Q$26,"Cursada aprobada")&gt;0)),OR(M20="",COUNTIF($F$2:$F$26,M20)=0,COUNTIFS($F$2:$F$26,M20,$Q$2:$Q$26,"Aprobada")&gt;0,AND(Resumen!$B$15="La cursada aprobada",COUNTIFS($F$2:$F$26,M20,$Q$2:$Q$26,"Cursada aprobada")&gt;0)),OR(N20="",COUNTIF($F$2:$F$26,N20)=0,COUNTIFS($F$2:$F$26,N20,$Q$2:$Q$26,"Aprobada")&gt;0,AND(Resumen!$B$15="La cursada aprobada",COUNTIFS($F$2:$F$26,N20,$Q$2:$Q$26,"Cursada aprobada")&gt;0)),OR(O20="",COUNTIF($F$2:$F$26,O20)=0,COUNTIFS($F$2:$F$26,O20,$Q$2:$Q$26,"Aprobada")&gt;0,AND(Resumen!$B$15="La cursada aprobada",COUNTIFS($F$2:$F$26,O20,$Q$2:$Q$26,"Cursada aprobada")&gt;0)),OR(P20="",COUNTIF($F$2:$F$26,P20)=0,COUNTIFS($F$2:$F$26,P20,$Q$2:$Q$26,"Aprobada")&gt;0,AND(Resumen!$B$15="La cursada aprobada",COUNTIFS($F$2:$F$26,P20,$Q$2:$Q$26,"Cursada aprobada")&gt;0))),"Sí","No")))</f>
        <v>No</v>
      </c>
      <c r="S20" s="8" t="str">
        <f aca="false">TRIM(IF(NOT(OR(L20="",COUNTIF($F$2:$F$26,L20)=0,COUNTIFS($F$2:$F$26,L20,$Q$2:$Q$26,"Aprobada")&gt;0,AND(Resumen!$B$15="La cursada aprobada",COUNTIFS($F$2:$F$26,L20,$Q$2:$Q$26,"Cursada aprobada")&gt;0))),L20&amp;" ","")&amp;IF(NOT(OR(M20="",COUNTIF($F$2:$F$26,M20)=0,COUNTIFS($F$2:$F$26,M20,$Q$2:$Q$26,"Aprobada")&gt;0,AND(Resumen!$B$15="La cursada aprobada",COUNTIFS($F$2:$F$26,M20,$Q$2:$Q$26,"Cursada aprobada")&gt;0))),M20&amp;" ","")&amp;IF(NOT(OR(N20="",COUNTIF($F$2:$F$26,N20)=0,COUNTIFS($F$2:$F$26,N20,$Q$2:$Q$26,"Aprobada")&gt;0,AND(Resumen!$B$15="La cursada aprobada",COUNTIFS($F$2:$F$26,N20,$Q$2:$Q$26,"Cursada aprobada")&gt;0))),N20&amp;" ","")&amp;IF(NOT(OR(O20="",COUNTIF($F$2:$F$26,O20)=0,COUNTIFS($F$2:$F$26,O20,$Q$2:$Q$26,"Aprobada")&gt;0,AND(Resumen!$B$15="La cursada aprobada",COUNTIFS($F$2:$F$26,O20,$Q$2:$Q$26,"Cursada aprobada")&gt;0))),O20&amp;" ","")&amp;IF(NOT(OR(P20="",COUNTIF($F$2:$F$26,P20)=0,COUNTIFS($F$2:$F$26,P20,$Q$2:$Q$26,"Aprobada")&gt;0,AND(Resumen!$B$15="La cursada aprobada",COUNTIFS($F$2:$F$26,P20,$Q$2:$Q$26,"Cursada aprobada")&gt;0))),P20&amp;" ",""))</f>
        <v>101 1110</v>
      </c>
      <c r="T20" s="9" t="str">
        <f aca="false">IF(Q20="Cursada aprobada",IF(AND(OR(L20="",COUNTIF($F$2:$F$26,L20)=0,COUNTIFS($F$2:$F$26,L20,$Q$2:$Q$26,"Aprobada")&gt;0),OR(M20="",COUNTIF($F$2:$F$26,M20)=0,COUNTIFS($F$2:$F$26,M20,$Q$2:$Q$26,"Aprobada")&gt;0),OR(N20="",COUNTIF($F$2:$F$26,N20)=0,COUNTIFS($F$2:$F$26,N20,$Q$2:$Q$26,"Aprobada")&gt;0),OR(O20="",COUNTIF($F$2:$F$26,O20)=0,COUNTIFS($F$2:$F$26,O20,$Q$2:$Q$26,"Aprobada")&gt;0),OR(P20="",COUNTIF($F$2:$F$26,P20)=0,COUNTIFS($F$2:$F$26,P20,$Q$2:$Q$26,"Aprobada")&gt;0)),"Sí","No"),"")</f>
        <v/>
      </c>
      <c r="U20" s="9" t="str">
        <f aca="false">IF(Q20="Aprobada",TRIM(IF(NOT(OR(L20="",COUNTIF($F$2:$F$26,L20)=0,COUNTIFS($F$2:$F$26,L20,$Q$2:$Q$26,"Aprobada")&gt;0)),L20&amp;" ","")&amp;IF(NOT(OR(M20="",COUNTIF($F$2:$F$26,M20)=0,COUNTIFS($F$2:$F$26,M20,$Q$2:$Q$26,"Aprobada")&gt;0)),M20&amp;" ","")&amp;IF(NOT(OR(N20="",COUNTIF($F$2:$F$26,N20)=0,COUNTIFS($F$2:$F$26,N20,$Q$2:$Q$26,"Aprobada")&gt;0)),N20&amp;" ","")&amp;IF(NOT(OR(O20="",COUNTIF($F$2:$F$26,O20)=0,COUNTIFS($F$2:$F$26,O20,$Q$2:$Q$26,"Aprobada")&gt;0)),O20&amp;" ","")&amp;IF(NOT(OR(P20="",COUNTIF($F$2:$F$26,P20)=0,COUNTIFS($F$2:$F$26,P20,$Q$2:$Q$26,"Aprobada")&gt;0)),P20&amp;" ","")),IF(Q20="Cursada aprobada",TRIM(IF(NOT(OR(L20="",COUNTIF($F$2:$F$26,L20)=0,COUNTIFS($F$2:$F$26,L20,$Q$2:$Q$26,"Aprobada")&gt;0,AND(Resumen!$B$15="La cursada aprobada",COUNTIFS($F$2:$F$26,L20,$Q$2:$Q$26,"Cursada aprobada")&gt;0))),L20&amp;" ","")&amp;IF(NOT(OR(M20="",COUNTIF($F$2:$F$26,M20)=0,COUNTIFS($F$2:$F$26,M20,$Q$2:$Q$26,"Aprobada")&gt;0,AND(Resumen!$B$15="La cursada aprobada",COUNTIFS($F$2:$F$26,M20,$Q$2:$Q$26,"Cursada aprobada")&gt;0))),M20&amp;" ","")&amp;IF(NOT(OR(N20="",COUNTIF($F$2:$F$26,N20)=0,COUNTIFS($F$2:$F$26,N20,$Q$2:$Q$26,"Aprobada")&gt;0,AND(Resumen!$B$15="La cursada aprobada",COUNTIFS($F$2:$F$26,N20,$Q$2:$Q$26,"Cursada aprobada")&gt;0))),N20&amp;" ","")&amp;IF(NOT(OR(O20="",COUNTIF($F$2:$F$26,O20)=0,COUNTIFS($F$2:$F$26,O20,$Q$2:$Q$26,"Aprobada")&gt;0,AND(Resumen!$B$15="La cursada aprobada",COUNTIFS($F$2:$F$26,O20,$Q$2:$Q$26,"Cursada aprobada")&gt;0))),O20&amp;" ","")&amp;IF(NOT(OR(P20="",COUNTIF($F$2:$F$26,P20)=0,COUNTIFS($F$2:$F$26,P20,$Q$2:$Q$26,"Aprobada")&gt;0,AND(Resumen!$B$15="La cursada aprobada",COUNTIFS($F$2:$F$26,P20,$Q$2:$Q$26,"Cursada aprobada")&gt;0))),P20&amp;" ","")),""))</f>
        <v/>
      </c>
    </row>
    <row r="21" customFormat="false" ht="15" hidden="false" customHeight="false" outlineLevel="0" collapsed="false">
      <c r="A21" s="8" t="s">
        <v>240</v>
      </c>
      <c r="B21" s="8"/>
      <c r="C21" s="9" t="n">
        <v>3</v>
      </c>
      <c r="D21" s="9" t="n">
        <v>2</v>
      </c>
      <c r="E21" s="9" t="s">
        <v>63</v>
      </c>
      <c r="F21" s="9" t="n">
        <v>1113</v>
      </c>
      <c r="G21" s="8" t="s">
        <v>279</v>
      </c>
      <c r="H21" s="9" t="s">
        <v>61</v>
      </c>
      <c r="I21" s="9" t="n">
        <v>4</v>
      </c>
      <c r="J21" s="9"/>
      <c r="K21" s="9" t="n">
        <v>64</v>
      </c>
      <c r="L21" s="9" t="s">
        <v>272</v>
      </c>
      <c r="M21" s="9" t="n">
        <v>1117</v>
      </c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cursada",IF(AND(OR(L21="",COUNTIF($F$2:$F$26,L21)=0,COUNTIFS($F$2:$F$26,L21,$Q$2:$Q$26,"Aprobada")&gt;0,AND(Resumen!$B$15="La cursada aprobada",COUNTIFS($F$2:$F$26,L21,$Q$2:$Q$26,"Cursada aprobada")&gt;0)),OR(M21="",COUNTIF($F$2:$F$26,M21)=0,COUNTIFS($F$2:$F$26,M21,$Q$2:$Q$26,"Aprobada")&gt;0,AND(Resumen!$B$15="La cursada aprobada",COUNTIFS($F$2:$F$26,M21,$Q$2:$Q$26,"Cursada aprobada")&gt;0)),OR(N21="",COUNTIF($F$2:$F$26,N21)=0,COUNTIFS($F$2:$F$26,N21,$Q$2:$Q$26,"Aprobada")&gt;0,AND(Resumen!$B$15="La cursada aprobada",COUNTIFS($F$2:$F$26,N21,$Q$2:$Q$26,"Cursada aprobada")&gt;0)),OR(O21="",COUNTIF($F$2:$F$26,O21)=0,COUNTIFS($F$2:$F$26,O21,$Q$2:$Q$26,"Aprobada")&gt;0,AND(Resumen!$B$15="La cursada aprobada",COUNTIFS($F$2:$F$26,O21,$Q$2:$Q$26,"Cursada aprobada")&gt;0)),OR(P21="",COUNTIF($F$2:$F$26,P21)=0,COUNTIFS($F$2:$F$26,P21,$Q$2:$Q$26,"Aprobada")&gt;0,AND(Resumen!$B$15="La cursada aprobada",COUNTIFS($F$2:$F$26,P21,$Q$2:$Q$26,"Cursada aprobada")&gt;0))),"Sí","No")))</f>
        <v>No</v>
      </c>
      <c r="S21" s="8" t="str">
        <f aca="false">TRIM(IF(NOT(OR(L21="",COUNTIF($F$2:$F$26,L21)=0,COUNTIFS($F$2:$F$26,L21,$Q$2:$Q$26,"Aprobada")&gt;0,AND(Resumen!$B$15="La cursada aprobada",COUNTIFS($F$2:$F$26,L21,$Q$2:$Q$26,"Cursada aprobada")&gt;0))),L21&amp;" ","")&amp;IF(NOT(OR(M21="",COUNTIF($F$2:$F$26,M21)=0,COUNTIFS($F$2:$F$26,M21,$Q$2:$Q$26,"Aprobada")&gt;0,AND(Resumen!$B$15="La cursada aprobada",COUNTIFS($F$2:$F$26,M21,$Q$2:$Q$26,"Cursada aprobada")&gt;0))),M21&amp;" ","")&amp;IF(NOT(OR(N21="",COUNTIF($F$2:$F$26,N21)=0,COUNTIFS($F$2:$F$26,N21,$Q$2:$Q$26,"Aprobada")&gt;0,AND(Resumen!$B$15="La cursada aprobada",COUNTIFS($F$2:$F$26,N21,$Q$2:$Q$26,"Cursada aprobada")&gt;0))),N21&amp;" ","")&amp;IF(NOT(OR(O21="",COUNTIF($F$2:$F$26,O21)=0,COUNTIFS($F$2:$F$26,O21,$Q$2:$Q$26,"Aprobada")&gt;0,AND(Resumen!$B$15="La cursada aprobada",COUNTIFS($F$2:$F$26,O21,$Q$2:$Q$26,"Cursada aprobada")&gt;0))),O21&amp;" ","")&amp;IF(NOT(OR(P21="",COUNTIF($F$2:$F$26,P21)=0,COUNTIFS($F$2:$F$26,P21,$Q$2:$Q$26,"Aprobada")&gt;0,AND(Resumen!$B$15="La cursada aprobada",COUNTIFS($F$2:$F$26,P21,$Q$2:$Q$26,"Cursada aprobada")&gt;0))),P21&amp;" ",""))</f>
        <v>1084B 1117</v>
      </c>
      <c r="T21" s="9" t="str">
        <f aca="false">IF(Q21="Cursada aprobada",IF(AND(OR(L21="",COUNTIF($F$2:$F$26,L21)=0,COUNTIFS($F$2:$F$26,L21,$Q$2:$Q$26,"Aprobada")&gt;0),OR(M21="",COUNTIF($F$2:$F$26,M21)=0,COUNTIFS($F$2:$F$26,M21,$Q$2:$Q$26,"Aprobada")&gt;0),OR(N21="",COUNTIF($F$2:$F$26,N21)=0,COUNTIFS($F$2:$F$26,N21,$Q$2:$Q$26,"Aprobada")&gt;0),OR(O21="",COUNTIF($F$2:$F$26,O21)=0,COUNTIFS($F$2:$F$26,O21,$Q$2:$Q$26,"Aprobada")&gt;0),OR(P21="",COUNTIF($F$2:$F$26,P21)=0,COUNTIFS($F$2:$F$26,P21,$Q$2:$Q$26,"Aprobada")&gt;0)),"Sí","No"),"")</f>
        <v/>
      </c>
      <c r="U21" s="9" t="str">
        <f aca="false">IF(Q21="Aprobada",TRIM(IF(NOT(OR(L21="",COUNTIF($F$2:$F$26,L21)=0,COUNTIFS($F$2:$F$26,L21,$Q$2:$Q$26,"Aprobada")&gt;0)),L21&amp;" ","")&amp;IF(NOT(OR(M21="",COUNTIF($F$2:$F$26,M21)=0,COUNTIFS($F$2:$F$26,M21,$Q$2:$Q$26,"Aprobada")&gt;0)),M21&amp;" ","")&amp;IF(NOT(OR(N21="",COUNTIF($F$2:$F$26,N21)=0,COUNTIFS($F$2:$F$26,N21,$Q$2:$Q$26,"Aprobada")&gt;0)),N21&amp;" ","")&amp;IF(NOT(OR(O21="",COUNTIF($F$2:$F$26,O21)=0,COUNTIFS($F$2:$F$26,O21,$Q$2:$Q$26,"Aprobada")&gt;0)),O21&amp;" ","")&amp;IF(NOT(OR(P21="",COUNTIF($F$2:$F$26,P21)=0,COUNTIFS($F$2:$F$26,P21,$Q$2:$Q$26,"Aprobada")&gt;0)),P21&amp;" ","")),IF(Q21="Cursada aprobada",TRIM(IF(NOT(OR(L21="",COUNTIF($F$2:$F$26,L21)=0,COUNTIFS($F$2:$F$26,L21,$Q$2:$Q$26,"Aprobada")&gt;0,AND(Resumen!$B$15="La cursada aprobada",COUNTIFS($F$2:$F$26,L21,$Q$2:$Q$26,"Cursada aprobada")&gt;0))),L21&amp;" ","")&amp;IF(NOT(OR(M21="",COUNTIF($F$2:$F$26,M21)=0,COUNTIFS($F$2:$F$26,M21,$Q$2:$Q$26,"Aprobada")&gt;0,AND(Resumen!$B$15="La cursada aprobada",COUNTIFS($F$2:$F$26,M21,$Q$2:$Q$26,"Cursada aprobada")&gt;0))),M21&amp;" ","")&amp;IF(NOT(OR(N21="",COUNTIF($F$2:$F$26,N21)=0,COUNTIFS($F$2:$F$26,N21,$Q$2:$Q$26,"Aprobada")&gt;0,AND(Resumen!$B$15="La cursada aprobada",COUNTIFS($F$2:$F$26,N21,$Q$2:$Q$26,"Cursada aprobada")&gt;0))),N21&amp;" ","")&amp;IF(NOT(OR(O21="",COUNTIF($F$2:$F$26,O21)=0,COUNTIFS($F$2:$F$26,O21,$Q$2:$Q$26,"Aprobada")&gt;0,AND(Resumen!$B$15="La cursada aprobada",COUNTIFS($F$2:$F$26,O21,$Q$2:$Q$26,"Cursada aprobada")&gt;0))),O21&amp;" ","")&amp;IF(NOT(OR(P21="",COUNTIF($F$2:$F$26,P21)=0,COUNTIFS($F$2:$F$26,P21,$Q$2:$Q$26,"Aprobada")&gt;0,AND(Resumen!$B$15="La cursada aprobada",COUNTIFS($F$2:$F$26,P21,$Q$2:$Q$26,"Cursada aprobada")&gt;0))),P21&amp;" ","")),""))</f>
        <v/>
      </c>
    </row>
    <row r="22" customFormat="false" ht="15" hidden="false" customHeight="false" outlineLevel="0" collapsed="false">
      <c r="A22" s="8" t="s">
        <v>240</v>
      </c>
      <c r="B22" s="8"/>
      <c r="C22" s="9" t="n">
        <v>3</v>
      </c>
      <c r="D22" s="9" t="n">
        <v>2</v>
      </c>
      <c r="E22" s="9" t="s">
        <v>63</v>
      </c>
      <c r="F22" s="9" t="n">
        <v>1118</v>
      </c>
      <c r="G22" s="8" t="s">
        <v>267</v>
      </c>
      <c r="H22" s="9" t="s">
        <v>61</v>
      </c>
      <c r="I22" s="9" t="n">
        <v>6</v>
      </c>
      <c r="J22" s="9"/>
      <c r="K22" s="9" t="n">
        <v>96</v>
      </c>
      <c r="L22" s="9" t="n">
        <v>1114</v>
      </c>
      <c r="M22" s="9" t="n">
        <v>1115</v>
      </c>
      <c r="N22" s="9" t="n">
        <v>1117</v>
      </c>
      <c r="O22" s="9"/>
      <c r="P22" s="9"/>
      <c r="Q22" s="10" t="s">
        <v>62</v>
      </c>
      <c r="R22" s="9" t="str">
        <f aca="false">IF(Q22="Aprobada","Ya aprobada",IF(Q22="Cursada aprobada","Ya cursada",IF(AND(OR(L22="",COUNTIF($F$2:$F$26,L22)=0,COUNTIFS($F$2:$F$26,L22,$Q$2:$Q$26,"Aprobada")&gt;0,AND(Resumen!$B$15="La cursada aprobada",COUNTIFS($F$2:$F$26,L22,$Q$2:$Q$26,"Cursada aprobada")&gt;0)),OR(M22="",COUNTIF($F$2:$F$26,M22)=0,COUNTIFS($F$2:$F$26,M22,$Q$2:$Q$26,"Aprobada")&gt;0,AND(Resumen!$B$15="La cursada aprobada",COUNTIFS($F$2:$F$26,M22,$Q$2:$Q$26,"Cursada aprobada")&gt;0)),OR(N22="",COUNTIF($F$2:$F$26,N22)=0,COUNTIFS($F$2:$F$26,N22,$Q$2:$Q$26,"Aprobada")&gt;0,AND(Resumen!$B$15="La cursada aprobada",COUNTIFS($F$2:$F$26,N22,$Q$2:$Q$26,"Cursada aprobada")&gt;0)),OR(O22="",COUNTIF($F$2:$F$26,O22)=0,COUNTIFS($F$2:$F$26,O22,$Q$2:$Q$26,"Aprobada")&gt;0,AND(Resumen!$B$15="La cursada aprobada",COUNTIFS($F$2:$F$26,O22,$Q$2:$Q$26,"Cursada aprobada")&gt;0)),OR(P22="",COUNTIF($F$2:$F$26,P22)=0,COUNTIFS($F$2:$F$26,P22,$Q$2:$Q$26,"Aprobada")&gt;0,AND(Resumen!$B$15="La cursada aprobada",COUNTIFS($F$2:$F$26,P22,$Q$2:$Q$26,"Cursada aprobada")&gt;0))),"Sí","No")))</f>
        <v>No</v>
      </c>
      <c r="S22" s="8" t="str">
        <f aca="false">TRIM(IF(NOT(OR(L22="",COUNTIF($F$2:$F$26,L22)=0,COUNTIFS($F$2:$F$26,L22,$Q$2:$Q$26,"Aprobada")&gt;0,AND(Resumen!$B$15="La cursada aprobada",COUNTIFS($F$2:$F$26,L22,$Q$2:$Q$26,"Cursada aprobada")&gt;0))),L22&amp;" ","")&amp;IF(NOT(OR(M22="",COUNTIF($F$2:$F$26,M22)=0,COUNTIFS($F$2:$F$26,M22,$Q$2:$Q$26,"Aprobada")&gt;0,AND(Resumen!$B$15="La cursada aprobada",COUNTIFS($F$2:$F$26,M22,$Q$2:$Q$26,"Cursada aprobada")&gt;0))),M22&amp;" ","")&amp;IF(NOT(OR(N22="",COUNTIF($F$2:$F$26,N22)=0,COUNTIFS($F$2:$F$26,N22,$Q$2:$Q$26,"Aprobada")&gt;0,AND(Resumen!$B$15="La cursada aprobada",COUNTIFS($F$2:$F$26,N22,$Q$2:$Q$26,"Cursada aprobada")&gt;0))),N22&amp;" ","")&amp;IF(NOT(OR(O22="",COUNTIF($F$2:$F$26,O22)=0,COUNTIFS($F$2:$F$26,O22,$Q$2:$Q$26,"Aprobada")&gt;0,AND(Resumen!$B$15="La cursada aprobada",COUNTIFS($F$2:$F$26,O22,$Q$2:$Q$26,"Cursada aprobada")&gt;0))),O22&amp;" ","")&amp;IF(NOT(OR(P22="",COUNTIF($F$2:$F$26,P22)=0,COUNTIFS($F$2:$F$26,P22,$Q$2:$Q$26,"Aprobada")&gt;0,AND(Resumen!$B$15="La cursada aprobada",COUNTIFS($F$2:$F$26,P22,$Q$2:$Q$26,"Cursada aprobada")&gt;0))),P22&amp;" ",""))</f>
        <v>1114 1115 1117</v>
      </c>
      <c r="T22" s="9" t="str">
        <f aca="false">IF(Q22="Cursada aprobada",IF(AND(OR(L22="",COUNTIF($F$2:$F$26,L22)=0,COUNTIFS($F$2:$F$26,L22,$Q$2:$Q$26,"Aprobada")&gt;0),OR(M22="",COUNTIF($F$2:$F$26,M22)=0,COUNTIFS($F$2:$F$26,M22,$Q$2:$Q$26,"Aprobada")&gt;0),OR(N22="",COUNTIF($F$2:$F$26,N22)=0,COUNTIFS($F$2:$F$26,N22,$Q$2:$Q$26,"Aprobada")&gt;0),OR(O22="",COUNTIF($F$2:$F$26,O22)=0,COUNTIFS($F$2:$F$26,O22,$Q$2:$Q$26,"Aprobada")&gt;0),OR(P22="",COUNTIF($F$2:$F$26,P22)=0,COUNTIFS($F$2:$F$26,P22,$Q$2:$Q$26,"Aprobada")&gt;0)),"Sí","No"),"")</f>
        <v/>
      </c>
      <c r="U22" s="9" t="str">
        <f aca="false">IF(Q22="Aprobada",TRIM(IF(NOT(OR(L22="",COUNTIF($F$2:$F$26,L22)=0,COUNTIFS($F$2:$F$26,L22,$Q$2:$Q$26,"Aprobada")&gt;0)),L22&amp;" ","")&amp;IF(NOT(OR(M22="",COUNTIF($F$2:$F$26,M22)=0,COUNTIFS($F$2:$F$26,M22,$Q$2:$Q$26,"Aprobada")&gt;0)),M22&amp;" ","")&amp;IF(NOT(OR(N22="",COUNTIF($F$2:$F$26,N22)=0,COUNTIFS($F$2:$F$26,N22,$Q$2:$Q$26,"Aprobada")&gt;0)),N22&amp;" ","")&amp;IF(NOT(OR(O22="",COUNTIF($F$2:$F$26,O22)=0,COUNTIFS($F$2:$F$26,O22,$Q$2:$Q$26,"Aprobada")&gt;0)),O22&amp;" ","")&amp;IF(NOT(OR(P22="",COUNTIF($F$2:$F$26,P22)=0,COUNTIFS($F$2:$F$26,P22,$Q$2:$Q$26,"Aprobada")&gt;0)),P22&amp;" ","")),IF(Q22="Cursada aprobada",TRIM(IF(NOT(OR(L22="",COUNTIF($F$2:$F$26,L22)=0,COUNTIFS($F$2:$F$26,L22,$Q$2:$Q$26,"Aprobada")&gt;0,AND(Resumen!$B$15="La cursada aprobada",COUNTIFS($F$2:$F$26,L22,$Q$2:$Q$26,"Cursada aprobada")&gt;0))),L22&amp;" ","")&amp;IF(NOT(OR(M22="",COUNTIF($F$2:$F$26,M22)=0,COUNTIFS($F$2:$F$26,M22,$Q$2:$Q$26,"Aprobada")&gt;0,AND(Resumen!$B$15="La cursada aprobada",COUNTIFS($F$2:$F$26,M22,$Q$2:$Q$26,"Cursada aprobada")&gt;0))),M22&amp;" ","")&amp;IF(NOT(OR(N22="",COUNTIF($F$2:$F$26,N22)=0,COUNTIFS($F$2:$F$26,N22,$Q$2:$Q$26,"Aprobada")&gt;0,AND(Resumen!$B$15="La cursada aprobada",COUNTIFS($F$2:$F$26,N22,$Q$2:$Q$26,"Cursada aprobada")&gt;0))),N22&amp;" ","")&amp;IF(NOT(OR(O22="",COUNTIF($F$2:$F$26,O22)=0,COUNTIFS($F$2:$F$26,O22,$Q$2:$Q$26,"Aprobada")&gt;0,AND(Resumen!$B$15="La cursada aprobada",COUNTIFS($F$2:$F$26,O22,$Q$2:$Q$26,"Cursada aprobada")&gt;0))),O22&amp;" ","")&amp;IF(NOT(OR(P22="",COUNTIF($F$2:$F$26,P22)=0,COUNTIFS($F$2:$F$26,P22,$Q$2:$Q$26,"Aprobada")&gt;0,AND(Resumen!$B$15="La cursada aprobada",COUNTIFS($F$2:$F$26,P22,$Q$2:$Q$26,"Cursada aprobada")&gt;0))),P22&amp;" ","")),""))</f>
        <v/>
      </c>
    </row>
    <row r="23" customFormat="false" ht="15" hidden="false" customHeight="false" outlineLevel="0" collapsed="false">
      <c r="A23" s="8" t="s">
        <v>240</v>
      </c>
      <c r="B23" s="8"/>
      <c r="C23" s="9" t="n">
        <v>3</v>
      </c>
      <c r="D23" s="9" t="n">
        <v>2</v>
      </c>
      <c r="E23" s="9" t="s">
        <v>63</v>
      </c>
      <c r="F23" s="9" t="n">
        <v>1122</v>
      </c>
      <c r="G23" s="8" t="s">
        <v>280</v>
      </c>
      <c r="H23" s="9" t="s">
        <v>61</v>
      </c>
      <c r="I23" s="9" t="n">
        <v>4</v>
      </c>
      <c r="J23" s="9"/>
      <c r="K23" s="9" t="n">
        <v>64</v>
      </c>
      <c r="L23" s="9" t="n">
        <v>1114</v>
      </c>
      <c r="M23" s="9" t="n">
        <v>1116</v>
      </c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cursada",IF(AND(OR(L23="",COUNTIF($F$2:$F$26,L23)=0,COUNTIFS($F$2:$F$26,L23,$Q$2:$Q$26,"Aprobada")&gt;0,AND(Resumen!$B$15="La cursada aprobada",COUNTIFS($F$2:$F$26,L23,$Q$2:$Q$26,"Cursada aprobada")&gt;0)),OR(M23="",COUNTIF($F$2:$F$26,M23)=0,COUNTIFS($F$2:$F$26,M23,$Q$2:$Q$26,"Aprobada")&gt;0,AND(Resumen!$B$15="La cursada aprobada",COUNTIFS($F$2:$F$26,M23,$Q$2:$Q$26,"Cursada aprobada")&gt;0)),OR(N23="",COUNTIF($F$2:$F$26,N23)=0,COUNTIFS($F$2:$F$26,N23,$Q$2:$Q$26,"Aprobada")&gt;0,AND(Resumen!$B$15="La cursada aprobada",COUNTIFS($F$2:$F$26,N23,$Q$2:$Q$26,"Cursada aprobada")&gt;0)),OR(O23="",COUNTIF($F$2:$F$26,O23)=0,COUNTIFS($F$2:$F$26,O23,$Q$2:$Q$26,"Aprobada")&gt;0,AND(Resumen!$B$15="La cursada aprobada",COUNTIFS($F$2:$F$26,O23,$Q$2:$Q$26,"Cursada aprobada")&gt;0)),OR(P23="",COUNTIF($F$2:$F$26,P23)=0,COUNTIFS($F$2:$F$26,P23,$Q$2:$Q$26,"Aprobada")&gt;0,AND(Resumen!$B$15="La cursada aprobada",COUNTIFS($F$2:$F$26,P23,$Q$2:$Q$26,"Cursada aprobada")&gt;0))),"Sí","No")))</f>
        <v>No</v>
      </c>
      <c r="S23" s="8" t="str">
        <f aca="false">TRIM(IF(NOT(OR(L23="",COUNTIF($F$2:$F$26,L23)=0,COUNTIFS($F$2:$F$26,L23,$Q$2:$Q$26,"Aprobada")&gt;0,AND(Resumen!$B$15="La cursada aprobada",COUNTIFS($F$2:$F$26,L23,$Q$2:$Q$26,"Cursada aprobada")&gt;0))),L23&amp;" ","")&amp;IF(NOT(OR(M23="",COUNTIF($F$2:$F$26,M23)=0,COUNTIFS($F$2:$F$26,M23,$Q$2:$Q$26,"Aprobada")&gt;0,AND(Resumen!$B$15="La cursada aprobada",COUNTIFS($F$2:$F$26,M23,$Q$2:$Q$26,"Cursada aprobada")&gt;0))),M23&amp;" ","")&amp;IF(NOT(OR(N23="",COUNTIF($F$2:$F$26,N23)=0,COUNTIFS($F$2:$F$26,N23,$Q$2:$Q$26,"Aprobada")&gt;0,AND(Resumen!$B$15="La cursada aprobada",COUNTIFS($F$2:$F$26,N23,$Q$2:$Q$26,"Cursada aprobada")&gt;0))),N23&amp;" ","")&amp;IF(NOT(OR(O23="",COUNTIF($F$2:$F$26,O23)=0,COUNTIFS($F$2:$F$26,O23,$Q$2:$Q$26,"Aprobada")&gt;0,AND(Resumen!$B$15="La cursada aprobada",COUNTIFS($F$2:$F$26,O23,$Q$2:$Q$26,"Cursada aprobada")&gt;0))),O23&amp;" ","")&amp;IF(NOT(OR(P23="",COUNTIF($F$2:$F$26,P23)=0,COUNTIFS($F$2:$F$26,P23,$Q$2:$Q$26,"Aprobada")&gt;0,AND(Resumen!$B$15="La cursada aprobada",COUNTIFS($F$2:$F$26,P23,$Q$2:$Q$26,"Cursada aprobada")&gt;0))),P23&amp;" ",""))</f>
        <v>1114 1116</v>
      </c>
      <c r="T23" s="9" t="str">
        <f aca="false">IF(Q23="Cursada aprobada",IF(AND(OR(L23="",COUNTIF($F$2:$F$26,L23)=0,COUNTIFS($F$2:$F$26,L23,$Q$2:$Q$26,"Aprobada")&gt;0),OR(M23="",COUNTIF($F$2:$F$26,M23)=0,COUNTIFS($F$2:$F$26,M23,$Q$2:$Q$26,"Aprobada")&gt;0),OR(N23="",COUNTIF($F$2:$F$26,N23)=0,COUNTIFS($F$2:$F$26,N23,$Q$2:$Q$26,"Aprobada")&gt;0),OR(O23="",COUNTIF($F$2:$F$26,O23)=0,COUNTIFS($F$2:$F$26,O23,$Q$2:$Q$26,"Aprobada")&gt;0),OR(P23="",COUNTIF($F$2:$F$26,P23)=0,COUNTIFS($F$2:$F$26,P23,$Q$2:$Q$26,"Aprobada")&gt;0)),"Sí","No"),"")</f>
        <v/>
      </c>
      <c r="U23" s="9" t="str">
        <f aca="false">IF(Q23="Aprobada",TRIM(IF(NOT(OR(L23="",COUNTIF($F$2:$F$26,L23)=0,COUNTIFS($F$2:$F$26,L23,$Q$2:$Q$26,"Aprobada")&gt;0)),L23&amp;" ","")&amp;IF(NOT(OR(M23="",COUNTIF($F$2:$F$26,M23)=0,COUNTIFS($F$2:$F$26,M23,$Q$2:$Q$26,"Aprobada")&gt;0)),M23&amp;" ","")&amp;IF(NOT(OR(N23="",COUNTIF($F$2:$F$26,N23)=0,COUNTIFS($F$2:$F$26,N23,$Q$2:$Q$26,"Aprobada")&gt;0)),N23&amp;" ","")&amp;IF(NOT(OR(O23="",COUNTIF($F$2:$F$26,O23)=0,COUNTIFS($F$2:$F$26,O23,$Q$2:$Q$26,"Aprobada")&gt;0)),O23&amp;" ","")&amp;IF(NOT(OR(P23="",COUNTIF($F$2:$F$26,P23)=0,COUNTIFS($F$2:$F$26,P23,$Q$2:$Q$26,"Aprobada")&gt;0)),P23&amp;" ","")),IF(Q23="Cursada aprobada",TRIM(IF(NOT(OR(L23="",COUNTIF($F$2:$F$26,L23)=0,COUNTIFS($F$2:$F$26,L23,$Q$2:$Q$26,"Aprobada")&gt;0,AND(Resumen!$B$15="La cursada aprobada",COUNTIFS($F$2:$F$26,L23,$Q$2:$Q$26,"Cursada aprobada")&gt;0))),L23&amp;" ","")&amp;IF(NOT(OR(M23="",COUNTIF($F$2:$F$26,M23)=0,COUNTIFS($F$2:$F$26,M23,$Q$2:$Q$26,"Aprobada")&gt;0,AND(Resumen!$B$15="La cursada aprobada",COUNTIFS($F$2:$F$26,M23,$Q$2:$Q$26,"Cursada aprobada")&gt;0))),M23&amp;" ","")&amp;IF(NOT(OR(N23="",COUNTIF($F$2:$F$26,N23)=0,COUNTIFS($F$2:$F$26,N23,$Q$2:$Q$26,"Aprobada")&gt;0,AND(Resumen!$B$15="La cursada aprobada",COUNTIFS($F$2:$F$26,N23,$Q$2:$Q$26,"Cursada aprobada")&gt;0))),N23&amp;" ","")&amp;IF(NOT(OR(O23="",COUNTIF($F$2:$F$26,O23)=0,COUNTIFS($F$2:$F$26,O23,$Q$2:$Q$26,"Aprobada")&gt;0,AND(Resumen!$B$15="La cursada aprobada",COUNTIFS($F$2:$F$26,O23,$Q$2:$Q$26,"Cursada aprobada")&gt;0))),O23&amp;" ","")&amp;IF(NOT(OR(P23="",COUNTIF($F$2:$F$26,P23)=0,COUNTIFS($F$2:$F$26,P23,$Q$2:$Q$26,"Aprobada")&gt;0,AND(Resumen!$B$15="La cursada aprobada",COUNTIFS($F$2:$F$26,P23,$Q$2:$Q$26,"Cursada aprobada")&gt;0))),P23&amp;" ","")),""))</f>
        <v/>
      </c>
    </row>
    <row r="24" customFormat="false" ht="15" hidden="false" customHeight="false" outlineLevel="0" collapsed="false">
      <c r="A24" s="8" t="s">
        <v>116</v>
      </c>
      <c r="B24" s="8"/>
      <c r="C24" s="9"/>
      <c r="D24" s="9"/>
      <c r="E24" s="9" t="s">
        <v>99</v>
      </c>
      <c r="F24" s="9" t="n">
        <v>598</v>
      </c>
      <c r="G24" s="8" t="s">
        <v>117</v>
      </c>
      <c r="H24" s="9"/>
      <c r="I24" s="9" t="n">
        <v>4</v>
      </c>
      <c r="J24" s="9"/>
      <c r="K24" s="9" t="n">
        <v>64</v>
      </c>
      <c r="L24" s="9"/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cursada",IF(AND(OR(L24="",COUNTIF($F$2:$F$26,L24)=0,COUNTIFS($F$2:$F$26,L24,$Q$2:$Q$26,"Aprobada")&gt;0,AND(Resumen!$B$15="La cursada aprobada",COUNTIFS($F$2:$F$26,L24,$Q$2:$Q$26,"Cursada aprobada")&gt;0)),OR(M24="",COUNTIF($F$2:$F$26,M24)=0,COUNTIFS($F$2:$F$26,M24,$Q$2:$Q$26,"Aprobada")&gt;0,AND(Resumen!$B$15="La cursada aprobada",COUNTIFS($F$2:$F$26,M24,$Q$2:$Q$26,"Cursada aprobada")&gt;0)),OR(N24="",COUNTIF($F$2:$F$26,N24)=0,COUNTIFS($F$2:$F$26,N24,$Q$2:$Q$26,"Aprobada")&gt;0,AND(Resumen!$B$15="La cursada aprobada",COUNTIFS($F$2:$F$26,N24,$Q$2:$Q$26,"Cursada aprobada")&gt;0)),OR(O24="",COUNTIF($F$2:$F$26,O24)=0,COUNTIFS($F$2:$F$26,O24,$Q$2:$Q$26,"Aprobada")&gt;0,AND(Resumen!$B$15="La cursada aprobada",COUNTIFS($F$2:$F$26,O24,$Q$2:$Q$26,"Cursada aprobada")&gt;0)),OR(P24="",COUNTIF($F$2:$F$26,P24)=0,COUNTIFS($F$2:$F$26,P24,$Q$2:$Q$26,"Aprobada")&gt;0,AND(Resumen!$B$15="La cursada aprobada",COUNTIFS($F$2:$F$26,P24,$Q$2:$Q$26,"Cursada aprobada")&gt;0))),"Sí","No")))</f>
        <v>Sí</v>
      </c>
      <c r="S24" s="8" t="str">
        <f aca="false">TRIM(IF(NOT(OR(L24="",COUNTIF($F$2:$F$26,L24)=0,COUNTIFS($F$2:$F$26,L24,$Q$2:$Q$26,"Aprobada")&gt;0,AND(Resumen!$B$15="La cursada aprobada",COUNTIFS($F$2:$F$26,L24,$Q$2:$Q$26,"Cursada aprobada")&gt;0))),L24&amp;" ","")&amp;IF(NOT(OR(M24="",COUNTIF($F$2:$F$26,M24)=0,COUNTIFS($F$2:$F$26,M24,$Q$2:$Q$26,"Aprobada")&gt;0,AND(Resumen!$B$15="La cursada aprobada",COUNTIFS($F$2:$F$26,M24,$Q$2:$Q$26,"Cursada aprobada")&gt;0))),M24&amp;" ","")&amp;IF(NOT(OR(N24="",COUNTIF($F$2:$F$26,N24)=0,COUNTIFS($F$2:$F$26,N24,$Q$2:$Q$26,"Aprobada")&gt;0,AND(Resumen!$B$15="La cursada aprobada",COUNTIFS($F$2:$F$26,N24,$Q$2:$Q$26,"Cursada aprobada")&gt;0))),N24&amp;" ","")&amp;IF(NOT(OR(O24="",COUNTIF($F$2:$F$26,O24)=0,COUNTIFS($F$2:$F$26,O24,$Q$2:$Q$26,"Aprobada")&gt;0,AND(Resumen!$B$15="La cursada aprobada",COUNTIFS($F$2:$F$26,O24,$Q$2:$Q$26,"Cursada aprobada")&gt;0))),O24&amp;" ","")&amp;IF(NOT(OR(P24="",COUNTIF($F$2:$F$26,P24)=0,COUNTIFS($F$2:$F$26,P24,$Q$2:$Q$26,"Aprobada")&gt;0,AND(Resumen!$B$15="La cursada aprobada",COUNTIFS($F$2:$F$26,P24,$Q$2:$Q$26,"Cursada aprobada")&gt;0))),P24&amp;" ",""))</f>
        <v/>
      </c>
      <c r="T24" s="9" t="str">
        <f aca="false">IF(Q24="Cursada aprobada",IF(AND(OR(L24="",COUNTIF($F$2:$F$26,L24)=0,COUNTIFS($F$2:$F$26,L24,$Q$2:$Q$26,"Aprobada")&gt;0),OR(M24="",COUNTIF($F$2:$F$26,M24)=0,COUNTIFS($F$2:$F$26,M24,$Q$2:$Q$26,"Aprobada")&gt;0),OR(N24="",COUNTIF($F$2:$F$26,N24)=0,COUNTIFS($F$2:$F$26,N24,$Q$2:$Q$26,"Aprobada")&gt;0),OR(O24="",COUNTIF($F$2:$F$26,O24)=0,COUNTIFS($F$2:$F$26,O24,$Q$2:$Q$26,"Aprobada")&gt;0),OR(P24="",COUNTIF($F$2:$F$26,P24)=0,COUNTIFS($F$2:$F$26,P24,$Q$2:$Q$26,"Aprobada")&gt;0)),"Sí","No"),"")</f>
        <v/>
      </c>
      <c r="U24" s="9" t="str">
        <f aca="false">IF(Q24="Aprobada",TRIM(IF(NOT(OR(L24="",COUNTIF($F$2:$F$26,L24)=0,COUNTIFS($F$2:$F$26,L24,$Q$2:$Q$26,"Aprobada")&gt;0)),L24&amp;" ","")&amp;IF(NOT(OR(M24="",COUNTIF($F$2:$F$26,M24)=0,COUNTIFS($F$2:$F$26,M24,$Q$2:$Q$26,"Aprobada")&gt;0)),M24&amp;" ","")&amp;IF(NOT(OR(N24="",COUNTIF($F$2:$F$26,N24)=0,COUNTIFS($F$2:$F$26,N24,$Q$2:$Q$26,"Aprobada")&gt;0)),N24&amp;" ","")&amp;IF(NOT(OR(O24="",COUNTIF($F$2:$F$26,O24)=0,COUNTIFS($F$2:$F$26,O24,$Q$2:$Q$26,"Aprobada")&gt;0)),O24&amp;" ","")&amp;IF(NOT(OR(P24="",COUNTIF($F$2:$F$26,P24)=0,COUNTIFS($F$2:$F$26,P24,$Q$2:$Q$26,"Aprobada")&gt;0)),P24&amp;" ","")),IF(Q24="Cursada aprobada",TRIM(IF(NOT(OR(L24="",COUNTIF($F$2:$F$26,L24)=0,COUNTIFS($F$2:$F$26,L24,$Q$2:$Q$26,"Aprobada")&gt;0,AND(Resumen!$B$15="La cursada aprobada",COUNTIFS($F$2:$F$26,L24,$Q$2:$Q$26,"Cursada aprobada")&gt;0))),L24&amp;" ","")&amp;IF(NOT(OR(M24="",COUNTIF($F$2:$F$26,M24)=0,COUNTIFS($F$2:$F$26,M24,$Q$2:$Q$26,"Aprobada")&gt;0,AND(Resumen!$B$15="La cursada aprobada",COUNTIFS($F$2:$F$26,M24,$Q$2:$Q$26,"Cursada aprobada")&gt;0))),M24&amp;" ","")&amp;IF(NOT(OR(N24="",COUNTIF($F$2:$F$26,N24)=0,COUNTIFS($F$2:$F$26,N24,$Q$2:$Q$26,"Aprobada")&gt;0,AND(Resumen!$B$15="La cursada aprobada",COUNTIFS($F$2:$F$26,N24,$Q$2:$Q$26,"Cursada aprobada")&gt;0))),N24&amp;" ","")&amp;IF(NOT(OR(O24="",COUNTIF($F$2:$F$26,O24)=0,COUNTIFS($F$2:$F$26,O24,$Q$2:$Q$26,"Aprobada")&gt;0,AND(Resumen!$B$15="La cursada aprobada",COUNTIFS($F$2:$F$26,O24,$Q$2:$Q$26,"Cursada aprobada")&gt;0))),O24&amp;" ","")&amp;IF(NOT(OR(P24="",COUNTIF($F$2:$F$26,P24)=0,COUNTIFS($F$2:$F$26,P24,$Q$2:$Q$26,"Aprobada")&gt;0,AND(Resumen!$B$15="La cursada aprobada",COUNTIFS($F$2:$F$26,P24,$Q$2:$Q$26,"Cursada aprobada")&gt;0))),P24&amp;" ","")),""))</f>
        <v/>
      </c>
    </row>
    <row r="25" customFormat="false" ht="15" hidden="false" customHeight="false" outlineLevel="0" collapsed="false">
      <c r="A25" s="8" t="s">
        <v>116</v>
      </c>
      <c r="B25" s="8"/>
      <c r="C25" s="9"/>
      <c r="D25" s="9"/>
      <c r="E25" s="9" t="s">
        <v>63</v>
      </c>
      <c r="F25" s="9" t="n">
        <v>1119</v>
      </c>
      <c r="G25" s="8" t="s">
        <v>281</v>
      </c>
      <c r="H25" s="9" t="s">
        <v>92</v>
      </c>
      <c r="I25" s="9" t="n">
        <v>2</v>
      </c>
      <c r="J25" s="9"/>
      <c r="K25" s="9" t="n">
        <v>32</v>
      </c>
      <c r="L25" s="9"/>
      <c r="M25" s="9"/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cursada",IF(AND(OR(L25="",COUNTIF($F$2:$F$26,L25)=0,COUNTIFS($F$2:$F$26,L25,$Q$2:$Q$26,"Aprobada")&gt;0,AND(Resumen!$B$15="La cursada aprobada",COUNTIFS($F$2:$F$26,L25,$Q$2:$Q$26,"Cursada aprobada")&gt;0)),OR(M25="",COUNTIF($F$2:$F$26,M25)=0,COUNTIFS($F$2:$F$26,M25,$Q$2:$Q$26,"Aprobada")&gt;0,AND(Resumen!$B$15="La cursada aprobada",COUNTIFS($F$2:$F$26,M25,$Q$2:$Q$26,"Cursada aprobada")&gt;0)),OR(N25="",COUNTIF($F$2:$F$26,N25)=0,COUNTIFS($F$2:$F$26,N25,$Q$2:$Q$26,"Aprobada")&gt;0,AND(Resumen!$B$15="La cursada aprobada",COUNTIFS($F$2:$F$26,N25,$Q$2:$Q$26,"Cursada aprobada")&gt;0)),OR(O25="",COUNTIF($F$2:$F$26,O25)=0,COUNTIFS($F$2:$F$26,O25,$Q$2:$Q$26,"Aprobada")&gt;0,AND(Resumen!$B$15="La cursada aprobada",COUNTIFS($F$2:$F$26,O25,$Q$2:$Q$26,"Cursada aprobada")&gt;0)),OR(P25="",COUNTIF($F$2:$F$26,P25)=0,COUNTIFS($F$2:$F$26,P25,$Q$2:$Q$26,"Aprobada")&gt;0,AND(Resumen!$B$15="La cursada aprobada",COUNTIFS($F$2:$F$26,P25,$Q$2:$Q$26,"Cursada aprobada")&gt;0))),"Sí","No")))</f>
        <v>Sí</v>
      </c>
      <c r="S25" s="8" t="str">
        <f aca="false">TRIM(IF(NOT(OR(L25="",COUNTIF($F$2:$F$26,L25)=0,COUNTIFS($F$2:$F$26,L25,$Q$2:$Q$26,"Aprobada")&gt;0,AND(Resumen!$B$15="La cursada aprobada",COUNTIFS($F$2:$F$26,L25,$Q$2:$Q$26,"Cursada aprobada")&gt;0))),L25&amp;" ","")&amp;IF(NOT(OR(M25="",COUNTIF($F$2:$F$26,M25)=0,COUNTIFS($F$2:$F$26,M25,$Q$2:$Q$26,"Aprobada")&gt;0,AND(Resumen!$B$15="La cursada aprobada",COUNTIFS($F$2:$F$26,M25,$Q$2:$Q$26,"Cursada aprobada")&gt;0))),M25&amp;" ","")&amp;IF(NOT(OR(N25="",COUNTIF($F$2:$F$26,N25)=0,COUNTIFS($F$2:$F$26,N25,$Q$2:$Q$26,"Aprobada")&gt;0,AND(Resumen!$B$15="La cursada aprobada",COUNTIFS($F$2:$F$26,N25,$Q$2:$Q$26,"Cursada aprobada")&gt;0))),N25&amp;" ","")&amp;IF(NOT(OR(O25="",COUNTIF($F$2:$F$26,O25)=0,COUNTIFS($F$2:$F$26,O25,$Q$2:$Q$26,"Aprobada")&gt;0,AND(Resumen!$B$15="La cursada aprobada",COUNTIFS($F$2:$F$26,O25,$Q$2:$Q$26,"Cursada aprobada")&gt;0))),O25&amp;" ","")&amp;IF(NOT(OR(P25="",COUNTIF($F$2:$F$26,P25)=0,COUNTIFS($F$2:$F$26,P25,$Q$2:$Q$26,"Aprobada")&gt;0,AND(Resumen!$B$15="La cursada aprobada",COUNTIFS($F$2:$F$26,P25,$Q$2:$Q$26,"Cursada aprobada")&gt;0))),P25&amp;" ",""))</f>
        <v/>
      </c>
      <c r="T25" s="9" t="str">
        <f aca="false">IF(Q25="Cursada aprobada",IF(AND(OR(L25="",COUNTIF($F$2:$F$26,L25)=0,COUNTIFS($F$2:$F$26,L25,$Q$2:$Q$26,"Aprobada")&gt;0),OR(M25="",COUNTIF($F$2:$F$26,M25)=0,COUNTIFS($F$2:$F$26,M25,$Q$2:$Q$26,"Aprobada")&gt;0),OR(N25="",COUNTIF($F$2:$F$26,N25)=0,COUNTIFS($F$2:$F$26,N25,$Q$2:$Q$26,"Aprobada")&gt;0),OR(O25="",COUNTIF($F$2:$F$26,O25)=0,COUNTIFS($F$2:$F$26,O25,$Q$2:$Q$26,"Aprobada")&gt;0),OR(P25="",COUNTIF($F$2:$F$26,P25)=0,COUNTIFS($F$2:$F$26,P25,$Q$2:$Q$26,"Aprobada")&gt;0)),"Sí","No"),"")</f>
        <v/>
      </c>
      <c r="U25" s="9" t="str">
        <f aca="false">IF(Q25="Aprobada",TRIM(IF(NOT(OR(L25="",COUNTIF($F$2:$F$26,L25)=0,COUNTIFS($F$2:$F$26,L25,$Q$2:$Q$26,"Aprobada")&gt;0)),L25&amp;" ","")&amp;IF(NOT(OR(M25="",COUNTIF($F$2:$F$26,M25)=0,COUNTIFS($F$2:$F$26,M25,$Q$2:$Q$26,"Aprobada")&gt;0)),M25&amp;" ","")&amp;IF(NOT(OR(N25="",COUNTIF($F$2:$F$26,N25)=0,COUNTIFS($F$2:$F$26,N25,$Q$2:$Q$26,"Aprobada")&gt;0)),N25&amp;" ","")&amp;IF(NOT(OR(O25="",COUNTIF($F$2:$F$26,O25)=0,COUNTIFS($F$2:$F$26,O25,$Q$2:$Q$26,"Aprobada")&gt;0)),O25&amp;" ","")&amp;IF(NOT(OR(P25="",COUNTIF($F$2:$F$26,P25)=0,COUNTIFS($F$2:$F$26,P25,$Q$2:$Q$26,"Aprobada")&gt;0)),P25&amp;" ","")),IF(Q25="Cursada aprobada",TRIM(IF(NOT(OR(L25="",COUNTIF($F$2:$F$26,L25)=0,COUNTIFS($F$2:$F$26,L25,$Q$2:$Q$26,"Aprobada")&gt;0,AND(Resumen!$B$15="La cursada aprobada",COUNTIFS($F$2:$F$26,L25,$Q$2:$Q$26,"Cursada aprobada")&gt;0))),L25&amp;" ","")&amp;IF(NOT(OR(M25="",COUNTIF($F$2:$F$26,M25)=0,COUNTIFS($F$2:$F$26,M25,$Q$2:$Q$26,"Aprobada")&gt;0,AND(Resumen!$B$15="La cursada aprobada",COUNTIFS($F$2:$F$26,M25,$Q$2:$Q$26,"Cursada aprobada")&gt;0))),M25&amp;" ","")&amp;IF(NOT(OR(N25="",COUNTIF($F$2:$F$26,N25)=0,COUNTIFS($F$2:$F$26,N25,$Q$2:$Q$26,"Aprobada")&gt;0,AND(Resumen!$B$15="La cursada aprobada",COUNTIFS($F$2:$F$26,N25,$Q$2:$Q$26,"Cursada aprobada")&gt;0))),N25&amp;" ","")&amp;IF(NOT(OR(O25="",COUNTIF($F$2:$F$26,O25)=0,COUNTIFS($F$2:$F$26,O25,$Q$2:$Q$26,"Aprobada")&gt;0,AND(Resumen!$B$15="La cursada aprobada",COUNTIFS($F$2:$F$26,O25,$Q$2:$Q$26,"Cursada aprobada")&gt;0))),O25&amp;" ","")&amp;IF(NOT(OR(P25="",COUNTIF($F$2:$F$26,P25)=0,COUNTIFS($F$2:$F$26,P25,$Q$2:$Q$26,"Aprobada")&gt;0,AND(Resumen!$B$15="La cursada aprobada",COUNTIFS($F$2:$F$26,P25,$Q$2:$Q$26,"Cursada aprobada")&gt;0))),P25&amp;" ","")),""))</f>
        <v/>
      </c>
    </row>
    <row r="26" customFormat="false" ht="15" hidden="false" customHeight="false" outlineLevel="0" collapsed="false">
      <c r="A26" s="8" t="s">
        <v>116</v>
      </c>
      <c r="B26" s="8"/>
      <c r="C26" s="9"/>
      <c r="D26" s="9"/>
      <c r="E26" s="9" t="s">
        <v>122</v>
      </c>
      <c r="F26" s="9" t="n">
        <v>360</v>
      </c>
      <c r="G26" s="8" t="s">
        <v>123</v>
      </c>
      <c r="H26" s="9"/>
      <c r="I26" s="9"/>
      <c r="J26" s="9"/>
      <c r="K26" s="9" t="n">
        <v>50</v>
      </c>
      <c r="L26" s="9"/>
      <c r="M26" s="9"/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cursada",IF(AND(OR(L26="",COUNTIF($F$2:$F$26,L26)=0,COUNTIFS($F$2:$F$26,L26,$Q$2:$Q$26,"Aprobada")&gt;0,AND(Resumen!$B$15="La cursada aprobada",COUNTIFS($F$2:$F$26,L26,$Q$2:$Q$26,"Cursada aprobada")&gt;0)),OR(M26="",COUNTIF($F$2:$F$26,M26)=0,COUNTIFS($F$2:$F$26,M26,$Q$2:$Q$26,"Aprobada")&gt;0,AND(Resumen!$B$15="La cursada aprobada",COUNTIFS($F$2:$F$26,M26,$Q$2:$Q$26,"Cursada aprobada")&gt;0)),OR(N26="",COUNTIF($F$2:$F$26,N26)=0,COUNTIFS($F$2:$F$26,N26,$Q$2:$Q$26,"Aprobada")&gt;0,AND(Resumen!$B$15="La cursada aprobada",COUNTIFS($F$2:$F$26,N26,$Q$2:$Q$26,"Cursada aprobada")&gt;0)),OR(O26="",COUNTIF($F$2:$F$26,O26)=0,COUNTIFS($F$2:$F$26,O26,$Q$2:$Q$26,"Aprobada")&gt;0,AND(Resumen!$B$15="La cursada aprobada",COUNTIFS($F$2:$F$26,O26,$Q$2:$Q$26,"Cursada aprobada")&gt;0)),OR(P26="",COUNTIF($F$2:$F$26,P26)=0,COUNTIFS($F$2:$F$26,P26,$Q$2:$Q$26,"Aprobada")&gt;0,AND(Resumen!$B$15="La cursada aprobada",COUNTIFS($F$2:$F$26,P26,$Q$2:$Q$26,"Cursada aprobada")&gt;0))),"Sí","No")))</f>
        <v>Sí</v>
      </c>
      <c r="S26" s="8" t="str">
        <f aca="false">TRIM(IF(NOT(OR(L26="",COUNTIF($F$2:$F$26,L26)=0,COUNTIFS($F$2:$F$26,L26,$Q$2:$Q$26,"Aprobada")&gt;0,AND(Resumen!$B$15="La cursada aprobada",COUNTIFS($F$2:$F$26,L26,$Q$2:$Q$26,"Cursada aprobada")&gt;0))),L26&amp;" ","")&amp;IF(NOT(OR(M26="",COUNTIF($F$2:$F$26,M26)=0,COUNTIFS($F$2:$F$26,M26,$Q$2:$Q$26,"Aprobada")&gt;0,AND(Resumen!$B$15="La cursada aprobada",COUNTIFS($F$2:$F$26,M26,$Q$2:$Q$26,"Cursada aprobada")&gt;0))),M26&amp;" ","")&amp;IF(NOT(OR(N26="",COUNTIF($F$2:$F$26,N26)=0,COUNTIFS($F$2:$F$26,N26,$Q$2:$Q$26,"Aprobada")&gt;0,AND(Resumen!$B$15="La cursada aprobada",COUNTIFS($F$2:$F$26,N26,$Q$2:$Q$26,"Cursada aprobada")&gt;0))),N26&amp;" ","")&amp;IF(NOT(OR(O26="",COUNTIF($F$2:$F$26,O26)=0,COUNTIFS($F$2:$F$26,O26,$Q$2:$Q$26,"Aprobada")&gt;0,AND(Resumen!$B$15="La cursada aprobada",COUNTIFS($F$2:$F$26,O26,$Q$2:$Q$26,"Cursada aprobada")&gt;0))),O26&amp;" ","")&amp;IF(NOT(OR(P26="",COUNTIF($F$2:$F$26,P26)=0,COUNTIFS($F$2:$F$26,P26,$Q$2:$Q$26,"Aprobada")&gt;0,AND(Resumen!$B$15="La cursada aprobada",COUNTIFS($F$2:$F$26,P26,$Q$2:$Q$26,"Cursada aprobada")&gt;0))),P26&amp;" ",""))</f>
        <v/>
      </c>
      <c r="T26" s="9" t="str">
        <f aca="false">IF(Q26="Cursada aprobada",IF(AND(OR(L26="",COUNTIF($F$2:$F$26,L26)=0,COUNTIFS($F$2:$F$26,L26,$Q$2:$Q$26,"Aprobada")&gt;0),OR(M26="",COUNTIF($F$2:$F$26,M26)=0,COUNTIFS($F$2:$F$26,M26,$Q$2:$Q$26,"Aprobada")&gt;0),OR(N26="",COUNTIF($F$2:$F$26,N26)=0,COUNTIFS($F$2:$F$26,N26,$Q$2:$Q$26,"Aprobada")&gt;0),OR(O26="",COUNTIF($F$2:$F$26,O26)=0,COUNTIFS($F$2:$F$26,O26,$Q$2:$Q$26,"Aprobada")&gt;0),OR(P26="",COUNTIF($F$2:$F$26,P26)=0,COUNTIFS($F$2:$F$26,P26,$Q$2:$Q$26,"Aprobada")&gt;0)),"Sí","No"),"")</f>
        <v/>
      </c>
      <c r="U26" s="9" t="str">
        <f aca="false">IF(Q26="Aprobada",TRIM(IF(NOT(OR(L26="",COUNTIF($F$2:$F$26,L26)=0,COUNTIFS($F$2:$F$26,L26,$Q$2:$Q$26,"Aprobada")&gt;0)),L26&amp;" ","")&amp;IF(NOT(OR(M26="",COUNTIF($F$2:$F$26,M26)=0,COUNTIFS($F$2:$F$26,M26,$Q$2:$Q$26,"Aprobada")&gt;0)),M26&amp;" ","")&amp;IF(NOT(OR(N26="",COUNTIF($F$2:$F$26,N26)=0,COUNTIFS($F$2:$F$26,N26,$Q$2:$Q$26,"Aprobada")&gt;0)),N26&amp;" ","")&amp;IF(NOT(OR(O26="",COUNTIF($F$2:$F$26,O26)=0,COUNTIFS($F$2:$F$26,O26,$Q$2:$Q$26,"Aprobada")&gt;0)),O26&amp;" ","")&amp;IF(NOT(OR(P26="",COUNTIF($F$2:$F$26,P26)=0,COUNTIFS($F$2:$F$26,P26,$Q$2:$Q$26,"Aprobada")&gt;0)),P26&amp;" ","")),IF(Q26="Cursada aprobada",TRIM(IF(NOT(OR(L26="",COUNTIF($F$2:$F$26,L26)=0,COUNTIFS($F$2:$F$26,L26,$Q$2:$Q$26,"Aprobada")&gt;0,AND(Resumen!$B$15="La cursada aprobada",COUNTIFS($F$2:$F$26,L26,$Q$2:$Q$26,"Cursada aprobada")&gt;0))),L26&amp;" ","")&amp;IF(NOT(OR(M26="",COUNTIF($F$2:$F$26,M26)=0,COUNTIFS($F$2:$F$26,M26,$Q$2:$Q$26,"Aprobada")&gt;0,AND(Resumen!$B$15="La cursada aprobada",COUNTIFS($F$2:$F$26,M26,$Q$2:$Q$26,"Cursada aprobada")&gt;0))),M26&amp;" ","")&amp;IF(NOT(OR(N26="",COUNTIF($F$2:$F$26,N26)=0,COUNTIFS($F$2:$F$26,N26,$Q$2:$Q$26,"Aprobada")&gt;0,AND(Resumen!$B$15="La cursada aprobada",COUNTIFS($F$2:$F$26,N26,$Q$2:$Q$26,"Cursada aprobada")&gt;0))),N26&amp;" ","")&amp;IF(NOT(OR(O26="",COUNTIF($F$2:$F$26,O26)=0,COUNTIFS($F$2:$F$26,O26,$Q$2:$Q$26,"Aprobada")&gt;0,AND(Resumen!$B$15="La cursada aprobada",COUNTIFS($F$2:$F$26,O26,$Q$2:$Q$26,"Cursada aprobada")&gt;0))),O26&amp;" ","")&amp;IF(NOT(OR(P26="",COUNTIF($F$2:$F$26,P26)=0,COUNTIFS($F$2:$F$26,P26,$Q$2:$Q$26,"Aprobada")&gt;0,AND(Resumen!$B$15="La cursada aprobada",COUNTIFS($F$2:$F$26,P26,$Q$2:$Q$26,"Cursada aprobada")&gt;0))),P26&amp;" ","")),""))</f>
        <v/>
      </c>
    </row>
  </sheetData>
  <autoFilter ref="A1:U26"/>
  <conditionalFormatting sqref="Q2:Q2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26">
    <cfRule type="expression" priority="4" aboveAverage="0" equalAverage="0" bottom="0" percent="0" rank="0" text="" dxfId="10">
      <formula>LEN($U2)&gt;0</formula>
    </cfRule>
  </conditionalFormatting>
  <conditionalFormatting sqref="T2:T2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2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2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240</v>
      </c>
      <c r="B2" s="8"/>
      <c r="C2" s="9" t="n">
        <v>1</v>
      </c>
      <c r="D2" s="9" t="s">
        <v>241</v>
      </c>
      <c r="E2" s="9" t="s">
        <v>69</v>
      </c>
      <c r="F2" s="9" t="n">
        <v>1093</v>
      </c>
      <c r="G2" s="8" t="s">
        <v>282</v>
      </c>
      <c r="H2" s="9" t="s">
        <v>92</v>
      </c>
      <c r="I2" s="9" t="n">
        <v>2</v>
      </c>
      <c r="J2" s="9"/>
      <c r="K2" s="9" t="n">
        <v>32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cursada",IF(AND(OR(L2="",COUNTIF($F$2:$F$26,L2)=0,COUNTIFS($F$2:$F$26,L2,$Q$2:$Q$26,"Aprobada")&gt;0,AND(Resumen!$B$15="La cursada aprobada",COUNTIFS($F$2:$F$26,L2,$Q$2:$Q$26,"Cursada aprobada")&gt;0)),OR(M2="",COUNTIF($F$2:$F$26,M2)=0,COUNTIFS($F$2:$F$26,M2,$Q$2:$Q$26,"Aprobada")&gt;0,AND(Resumen!$B$15="La cursada aprobada",COUNTIFS($F$2:$F$26,M2,$Q$2:$Q$26,"Cursada aprobada")&gt;0)),OR(N2="",COUNTIF($F$2:$F$26,N2)=0,COUNTIFS($F$2:$F$26,N2,$Q$2:$Q$26,"Aprobada")&gt;0,AND(Resumen!$B$15="La cursada aprobada",COUNTIFS($F$2:$F$26,N2,$Q$2:$Q$26,"Cursada aprobada")&gt;0)),OR(O2="",COUNTIF($F$2:$F$26,O2)=0,COUNTIFS($F$2:$F$26,O2,$Q$2:$Q$26,"Aprobada")&gt;0,AND(Resumen!$B$15="La cursada aprobada",COUNTIFS($F$2:$F$26,O2,$Q$2:$Q$26,"Cursada aprobada")&gt;0)),OR(P2="",COUNTIF($F$2:$F$26,P2)=0,COUNTIFS($F$2:$F$26,P2,$Q$2:$Q$26,"Aprobada")&gt;0,AND(Resumen!$B$15="La cursada aprobada",COUNTIFS($F$2:$F$26,P2,$Q$2:$Q$26,"Cursada aprobada")&gt;0))),"Sí","No")))</f>
        <v>Sí</v>
      </c>
      <c r="S2" s="8" t="str">
        <f aca="false">TRIM(IF(NOT(OR(L2="",COUNTIF($F$2:$F$26,L2)=0,COUNTIFS($F$2:$F$26,L2,$Q$2:$Q$26,"Aprobada")&gt;0,AND(Resumen!$B$15="La cursada aprobada",COUNTIFS($F$2:$F$26,L2,$Q$2:$Q$26,"Cursada aprobada")&gt;0))),L2&amp;" ","")&amp;IF(NOT(OR(M2="",COUNTIF($F$2:$F$26,M2)=0,COUNTIFS($F$2:$F$26,M2,$Q$2:$Q$26,"Aprobada")&gt;0,AND(Resumen!$B$15="La cursada aprobada",COUNTIFS($F$2:$F$26,M2,$Q$2:$Q$26,"Cursada aprobada")&gt;0))),M2&amp;" ","")&amp;IF(NOT(OR(N2="",COUNTIF($F$2:$F$26,N2)=0,COUNTIFS($F$2:$F$26,N2,$Q$2:$Q$26,"Aprobada")&gt;0,AND(Resumen!$B$15="La cursada aprobada",COUNTIFS($F$2:$F$26,N2,$Q$2:$Q$26,"Cursada aprobada")&gt;0))),N2&amp;" ","")&amp;IF(NOT(OR(O2="",COUNTIF($F$2:$F$26,O2)=0,COUNTIFS($F$2:$F$26,O2,$Q$2:$Q$26,"Aprobada")&gt;0,AND(Resumen!$B$15="La cursada aprobada",COUNTIFS($F$2:$F$26,O2,$Q$2:$Q$26,"Cursada aprobada")&gt;0))),O2&amp;" ","")&amp;IF(NOT(OR(P2="",COUNTIF($F$2:$F$26,P2)=0,COUNTIFS($F$2:$F$26,P2,$Q$2:$Q$26,"Aprobada")&gt;0,AND(Resumen!$B$15="La cursada aprobada",COUNTIFS($F$2:$F$26,P2,$Q$2:$Q$26,"Cursada aprobada")&gt;0))),P2&amp;" ",""))</f>
        <v/>
      </c>
      <c r="T2" s="9" t="str">
        <f aca="false">IF(Q2="Cursada aprobada",IF(AND(OR(L2="",COUNTIF($F$2:$F$26,L2)=0,COUNTIFS($F$2:$F$26,L2,$Q$2:$Q$26,"Aprobada")&gt;0),OR(M2="",COUNTIF($F$2:$F$26,M2)=0,COUNTIFS($F$2:$F$26,M2,$Q$2:$Q$26,"Aprobada")&gt;0),OR(N2="",COUNTIF($F$2:$F$26,N2)=0,COUNTIFS($F$2:$F$26,N2,$Q$2:$Q$26,"Aprobada")&gt;0),OR(O2="",COUNTIF($F$2:$F$26,O2)=0,COUNTIFS($F$2:$F$26,O2,$Q$2:$Q$26,"Aprobada")&gt;0),OR(P2="",COUNTIF($F$2:$F$26,P2)=0,COUNTIFS($F$2:$F$26,P2,$Q$2:$Q$26,"Aprobada")&gt;0)),"Sí","No"),"")</f>
        <v/>
      </c>
      <c r="U2" s="9" t="str">
        <f aca="false">IF(Q2="Aprobada",TRIM(IF(NOT(OR(L2="",COUNTIF($F$2:$F$26,L2)=0,COUNTIFS($F$2:$F$26,L2,$Q$2:$Q$26,"Aprobada")&gt;0)),L2&amp;" ","")&amp;IF(NOT(OR(M2="",COUNTIF($F$2:$F$26,M2)=0,COUNTIFS($F$2:$F$26,M2,$Q$2:$Q$26,"Aprobada")&gt;0)),M2&amp;" ","")&amp;IF(NOT(OR(N2="",COUNTIF($F$2:$F$26,N2)=0,COUNTIFS($F$2:$F$26,N2,$Q$2:$Q$26,"Aprobada")&gt;0)),N2&amp;" ","")&amp;IF(NOT(OR(O2="",COUNTIF($F$2:$F$26,O2)=0,COUNTIFS($F$2:$F$26,O2,$Q$2:$Q$26,"Aprobada")&gt;0)),O2&amp;" ","")&amp;IF(NOT(OR(P2="",COUNTIF($F$2:$F$26,P2)=0,COUNTIFS($F$2:$F$26,P2,$Q$2:$Q$26,"Aprobada")&gt;0)),P2&amp;" ","")),IF(Q2="Cursada aprobada",TRIM(IF(NOT(OR(L2="",COUNTIF($F$2:$F$26,L2)=0,COUNTIFS($F$2:$F$26,L2,$Q$2:$Q$26,"Aprobada")&gt;0,AND(Resumen!$B$15="La cursada aprobada",COUNTIFS($F$2:$F$26,L2,$Q$2:$Q$26,"Cursada aprobada")&gt;0))),L2&amp;" ","")&amp;IF(NOT(OR(M2="",COUNTIF($F$2:$F$26,M2)=0,COUNTIFS($F$2:$F$26,M2,$Q$2:$Q$26,"Aprobada")&gt;0,AND(Resumen!$B$15="La cursada aprobada",COUNTIFS($F$2:$F$26,M2,$Q$2:$Q$26,"Cursada aprobada")&gt;0))),M2&amp;" ","")&amp;IF(NOT(OR(N2="",COUNTIF($F$2:$F$26,N2)=0,COUNTIFS($F$2:$F$26,N2,$Q$2:$Q$26,"Aprobada")&gt;0,AND(Resumen!$B$15="La cursada aprobada",COUNTIFS($F$2:$F$26,N2,$Q$2:$Q$26,"Cursada aprobada")&gt;0))),N2&amp;" ","")&amp;IF(NOT(OR(O2="",COUNTIF($F$2:$F$26,O2)=0,COUNTIFS($F$2:$F$26,O2,$Q$2:$Q$26,"Aprobada")&gt;0,AND(Resumen!$B$15="La cursada aprobada",COUNTIFS($F$2:$F$26,O2,$Q$2:$Q$26,"Cursada aprobada")&gt;0))),O2&amp;" ","")&amp;IF(NOT(OR(P2="",COUNTIF($F$2:$F$26,P2)=0,COUNTIFS($F$2:$F$26,P2,$Q$2:$Q$26,"Aprobada")&gt;0,AND(Resumen!$B$15="La cursada aprobada",COUNTIFS($F$2:$F$26,P2,$Q$2:$Q$26,"Cursada aprobada")&gt;0))),P2&amp;" ","")),""))</f>
        <v/>
      </c>
    </row>
    <row r="3" customFormat="false" ht="15" hidden="false" customHeight="false" outlineLevel="0" collapsed="false">
      <c r="A3" s="8" t="s">
        <v>240</v>
      </c>
      <c r="B3" s="8"/>
      <c r="C3" s="9" t="n">
        <v>1</v>
      </c>
      <c r="D3" s="9" t="s">
        <v>241</v>
      </c>
      <c r="E3" s="9" t="s">
        <v>59</v>
      </c>
      <c r="F3" s="9" t="n">
        <v>101</v>
      </c>
      <c r="G3" s="8" t="s">
        <v>60</v>
      </c>
      <c r="H3" s="9" t="s">
        <v>61</v>
      </c>
      <c r="I3" s="9" t="n">
        <v>6</v>
      </c>
      <c r="J3" s="9"/>
      <c r="K3" s="9" t="n">
        <v>96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cursada",IF(AND(OR(L3="",COUNTIF($F$2:$F$26,L3)=0,COUNTIFS($F$2:$F$26,L3,$Q$2:$Q$26,"Aprobada")&gt;0,AND(Resumen!$B$15="La cursada aprobada",COUNTIFS($F$2:$F$26,L3,$Q$2:$Q$26,"Cursada aprobada")&gt;0)),OR(M3="",COUNTIF($F$2:$F$26,M3)=0,COUNTIFS($F$2:$F$26,M3,$Q$2:$Q$26,"Aprobada")&gt;0,AND(Resumen!$B$15="La cursada aprobada",COUNTIFS($F$2:$F$26,M3,$Q$2:$Q$26,"Cursada aprobada")&gt;0)),OR(N3="",COUNTIF($F$2:$F$26,N3)=0,COUNTIFS($F$2:$F$26,N3,$Q$2:$Q$26,"Aprobada")&gt;0,AND(Resumen!$B$15="La cursada aprobada",COUNTIFS($F$2:$F$26,N3,$Q$2:$Q$26,"Cursada aprobada")&gt;0)),OR(O3="",COUNTIF($F$2:$F$26,O3)=0,COUNTIFS($F$2:$F$26,O3,$Q$2:$Q$26,"Aprobada")&gt;0,AND(Resumen!$B$15="La cursada aprobada",COUNTIFS($F$2:$F$26,O3,$Q$2:$Q$26,"Cursada aprobada")&gt;0)),OR(P3="",COUNTIF($F$2:$F$26,P3)=0,COUNTIFS($F$2:$F$26,P3,$Q$2:$Q$26,"Aprobada")&gt;0,AND(Resumen!$B$15="La cursada aprobada",COUNTIFS($F$2:$F$26,P3,$Q$2:$Q$26,"Cursada aprobada")&gt;0))),"Sí","No")))</f>
        <v>Sí</v>
      </c>
      <c r="S3" s="8" t="str">
        <f aca="false">TRIM(IF(NOT(OR(L3="",COUNTIF($F$2:$F$26,L3)=0,COUNTIFS($F$2:$F$26,L3,$Q$2:$Q$26,"Aprobada")&gt;0,AND(Resumen!$B$15="La cursada aprobada",COUNTIFS($F$2:$F$26,L3,$Q$2:$Q$26,"Cursada aprobada")&gt;0))),L3&amp;" ","")&amp;IF(NOT(OR(M3="",COUNTIF($F$2:$F$26,M3)=0,COUNTIFS($F$2:$F$26,M3,$Q$2:$Q$26,"Aprobada")&gt;0,AND(Resumen!$B$15="La cursada aprobada",COUNTIFS($F$2:$F$26,M3,$Q$2:$Q$26,"Cursada aprobada")&gt;0))),M3&amp;" ","")&amp;IF(NOT(OR(N3="",COUNTIF($F$2:$F$26,N3)=0,COUNTIFS($F$2:$F$26,N3,$Q$2:$Q$26,"Aprobada")&gt;0,AND(Resumen!$B$15="La cursada aprobada",COUNTIFS($F$2:$F$26,N3,$Q$2:$Q$26,"Cursada aprobada")&gt;0))),N3&amp;" ","")&amp;IF(NOT(OR(O3="",COUNTIF($F$2:$F$26,O3)=0,COUNTIFS($F$2:$F$26,O3,$Q$2:$Q$26,"Aprobada")&gt;0,AND(Resumen!$B$15="La cursada aprobada",COUNTIFS($F$2:$F$26,O3,$Q$2:$Q$26,"Cursada aprobada")&gt;0))),O3&amp;" ","")&amp;IF(NOT(OR(P3="",COUNTIF($F$2:$F$26,P3)=0,COUNTIFS($F$2:$F$26,P3,$Q$2:$Q$26,"Aprobada")&gt;0,AND(Resumen!$B$15="La cursada aprobada",COUNTIFS($F$2:$F$26,P3,$Q$2:$Q$26,"Cursada aprobada")&gt;0))),P3&amp;" ",""))</f>
        <v/>
      </c>
      <c r="T3" s="9" t="str">
        <f aca="false">IF(Q3="Cursada aprobada",IF(AND(OR(L3="",COUNTIF($F$2:$F$26,L3)=0,COUNTIFS($F$2:$F$26,L3,$Q$2:$Q$26,"Aprobada")&gt;0),OR(M3="",COUNTIF($F$2:$F$26,M3)=0,COUNTIFS($F$2:$F$26,M3,$Q$2:$Q$26,"Aprobada")&gt;0),OR(N3="",COUNTIF($F$2:$F$26,N3)=0,COUNTIFS($F$2:$F$26,N3,$Q$2:$Q$26,"Aprobada")&gt;0),OR(O3="",COUNTIF($F$2:$F$26,O3)=0,COUNTIFS($F$2:$F$26,O3,$Q$2:$Q$26,"Aprobada")&gt;0),OR(P3="",COUNTIF($F$2:$F$26,P3)=0,COUNTIFS($F$2:$F$26,P3,$Q$2:$Q$26,"Aprobada")&gt;0)),"Sí","No"),"")</f>
        <v/>
      </c>
      <c r="U3" s="9" t="str">
        <f aca="false">IF(Q3="Aprobada",TRIM(IF(NOT(OR(L3="",COUNTIF($F$2:$F$26,L3)=0,COUNTIFS($F$2:$F$26,L3,$Q$2:$Q$26,"Aprobada")&gt;0)),L3&amp;" ","")&amp;IF(NOT(OR(M3="",COUNTIF($F$2:$F$26,M3)=0,COUNTIFS($F$2:$F$26,M3,$Q$2:$Q$26,"Aprobada")&gt;0)),M3&amp;" ","")&amp;IF(NOT(OR(N3="",COUNTIF($F$2:$F$26,N3)=0,COUNTIFS($F$2:$F$26,N3,$Q$2:$Q$26,"Aprobada")&gt;0)),N3&amp;" ","")&amp;IF(NOT(OR(O3="",COUNTIF($F$2:$F$26,O3)=0,COUNTIFS($F$2:$F$26,O3,$Q$2:$Q$26,"Aprobada")&gt;0)),O3&amp;" ","")&amp;IF(NOT(OR(P3="",COUNTIF($F$2:$F$26,P3)=0,COUNTIFS($F$2:$F$26,P3,$Q$2:$Q$26,"Aprobada")&gt;0)),P3&amp;" ","")),IF(Q3="Cursada aprobada",TRIM(IF(NOT(OR(L3="",COUNTIF($F$2:$F$26,L3)=0,COUNTIFS($F$2:$F$26,L3,$Q$2:$Q$26,"Aprobada")&gt;0,AND(Resumen!$B$15="La cursada aprobada",COUNTIFS($F$2:$F$26,L3,$Q$2:$Q$26,"Cursada aprobada")&gt;0))),L3&amp;" ","")&amp;IF(NOT(OR(M3="",COUNTIF($F$2:$F$26,M3)=0,COUNTIFS($F$2:$F$26,M3,$Q$2:$Q$26,"Aprobada")&gt;0,AND(Resumen!$B$15="La cursada aprobada",COUNTIFS($F$2:$F$26,M3,$Q$2:$Q$26,"Cursada aprobada")&gt;0))),M3&amp;" ","")&amp;IF(NOT(OR(N3="",COUNTIF($F$2:$F$26,N3)=0,COUNTIFS($F$2:$F$26,N3,$Q$2:$Q$26,"Aprobada")&gt;0,AND(Resumen!$B$15="La cursada aprobada",COUNTIFS($F$2:$F$26,N3,$Q$2:$Q$26,"Cursada aprobada")&gt;0))),N3&amp;" ","")&amp;IF(NOT(OR(O3="",COUNTIF($F$2:$F$26,O3)=0,COUNTIFS($F$2:$F$26,O3,$Q$2:$Q$26,"Aprobada")&gt;0,AND(Resumen!$B$15="La cursada aprobada",COUNTIFS($F$2:$F$26,O3,$Q$2:$Q$26,"Cursada aprobada")&gt;0))),O3&amp;" ","")&amp;IF(NOT(OR(P3="",COUNTIF($F$2:$F$26,P3)=0,COUNTIFS($F$2:$F$26,P3,$Q$2:$Q$26,"Aprobada")&gt;0,AND(Resumen!$B$15="La cursada aprobada",COUNTIFS($F$2:$F$26,P3,$Q$2:$Q$26,"Cursada aprobada")&gt;0))),P3&amp;" ","")),""))</f>
        <v/>
      </c>
    </row>
    <row r="4" customFormat="false" ht="15" hidden="false" customHeight="false" outlineLevel="0" collapsed="false">
      <c r="A4" s="8" t="s">
        <v>240</v>
      </c>
      <c r="B4" s="8"/>
      <c r="C4" s="9" t="n">
        <v>1</v>
      </c>
      <c r="D4" s="9" t="s">
        <v>241</v>
      </c>
      <c r="E4" s="9" t="s">
        <v>69</v>
      </c>
      <c r="F4" s="9" t="n">
        <v>1091</v>
      </c>
      <c r="G4" s="8" t="s">
        <v>283</v>
      </c>
      <c r="H4" s="9" t="s">
        <v>61</v>
      </c>
      <c r="I4" s="9" t="n">
        <v>4</v>
      </c>
      <c r="J4" s="9"/>
      <c r="K4" s="9" t="n">
        <v>64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cursada",IF(AND(OR(L4="",COUNTIF($F$2:$F$26,L4)=0,COUNTIFS($F$2:$F$26,L4,$Q$2:$Q$26,"Aprobada")&gt;0,AND(Resumen!$B$15="La cursada aprobada",COUNTIFS($F$2:$F$26,L4,$Q$2:$Q$26,"Cursada aprobada")&gt;0)),OR(M4="",COUNTIF($F$2:$F$26,M4)=0,COUNTIFS($F$2:$F$26,M4,$Q$2:$Q$26,"Aprobada")&gt;0,AND(Resumen!$B$15="La cursada aprobada",COUNTIFS($F$2:$F$26,M4,$Q$2:$Q$26,"Cursada aprobada")&gt;0)),OR(N4="",COUNTIF($F$2:$F$26,N4)=0,COUNTIFS($F$2:$F$26,N4,$Q$2:$Q$26,"Aprobada")&gt;0,AND(Resumen!$B$15="La cursada aprobada",COUNTIFS($F$2:$F$26,N4,$Q$2:$Q$26,"Cursada aprobada")&gt;0)),OR(O4="",COUNTIF($F$2:$F$26,O4)=0,COUNTIFS($F$2:$F$26,O4,$Q$2:$Q$26,"Aprobada")&gt;0,AND(Resumen!$B$15="La cursada aprobada",COUNTIFS($F$2:$F$26,O4,$Q$2:$Q$26,"Cursada aprobada")&gt;0)),OR(P4="",COUNTIF($F$2:$F$26,P4)=0,COUNTIFS($F$2:$F$26,P4,$Q$2:$Q$26,"Aprobada")&gt;0,AND(Resumen!$B$15="La cursada aprobada",COUNTIFS($F$2:$F$26,P4,$Q$2:$Q$26,"Cursada aprobada")&gt;0))),"Sí","No")))</f>
        <v>Sí</v>
      </c>
      <c r="S4" s="8" t="str">
        <f aca="false">TRIM(IF(NOT(OR(L4="",COUNTIF($F$2:$F$26,L4)=0,COUNTIFS($F$2:$F$26,L4,$Q$2:$Q$26,"Aprobada")&gt;0,AND(Resumen!$B$15="La cursada aprobada",COUNTIFS($F$2:$F$26,L4,$Q$2:$Q$26,"Cursada aprobada")&gt;0))),L4&amp;" ","")&amp;IF(NOT(OR(M4="",COUNTIF($F$2:$F$26,M4)=0,COUNTIFS($F$2:$F$26,M4,$Q$2:$Q$26,"Aprobada")&gt;0,AND(Resumen!$B$15="La cursada aprobada",COUNTIFS($F$2:$F$26,M4,$Q$2:$Q$26,"Cursada aprobada")&gt;0))),M4&amp;" ","")&amp;IF(NOT(OR(N4="",COUNTIF($F$2:$F$26,N4)=0,COUNTIFS($F$2:$F$26,N4,$Q$2:$Q$26,"Aprobada")&gt;0,AND(Resumen!$B$15="La cursada aprobada",COUNTIFS($F$2:$F$26,N4,$Q$2:$Q$26,"Cursada aprobada")&gt;0))),N4&amp;" ","")&amp;IF(NOT(OR(O4="",COUNTIF($F$2:$F$26,O4)=0,COUNTIFS($F$2:$F$26,O4,$Q$2:$Q$26,"Aprobada")&gt;0,AND(Resumen!$B$15="La cursada aprobada",COUNTIFS($F$2:$F$26,O4,$Q$2:$Q$26,"Cursada aprobada")&gt;0))),O4&amp;" ","")&amp;IF(NOT(OR(P4="",COUNTIF($F$2:$F$26,P4)=0,COUNTIFS($F$2:$F$26,P4,$Q$2:$Q$26,"Aprobada")&gt;0,AND(Resumen!$B$15="La cursada aprobada",COUNTIFS($F$2:$F$26,P4,$Q$2:$Q$26,"Cursada aprobada")&gt;0))),P4&amp;" ",""))</f>
        <v/>
      </c>
      <c r="T4" s="9" t="str">
        <f aca="false">IF(Q4="Cursada aprobada",IF(AND(OR(L4="",COUNTIF($F$2:$F$26,L4)=0,COUNTIFS($F$2:$F$26,L4,$Q$2:$Q$26,"Aprobada")&gt;0),OR(M4="",COUNTIF($F$2:$F$26,M4)=0,COUNTIFS($F$2:$F$26,M4,$Q$2:$Q$26,"Aprobada")&gt;0),OR(N4="",COUNTIF($F$2:$F$26,N4)=0,COUNTIFS($F$2:$F$26,N4,$Q$2:$Q$26,"Aprobada")&gt;0),OR(O4="",COUNTIF($F$2:$F$26,O4)=0,COUNTIFS($F$2:$F$26,O4,$Q$2:$Q$26,"Aprobada")&gt;0),OR(P4="",COUNTIF($F$2:$F$26,P4)=0,COUNTIFS($F$2:$F$26,P4,$Q$2:$Q$26,"Aprobada")&gt;0)),"Sí","No"),"")</f>
        <v/>
      </c>
      <c r="U4" s="9" t="str">
        <f aca="false">IF(Q4="Aprobada",TRIM(IF(NOT(OR(L4="",COUNTIF($F$2:$F$26,L4)=0,COUNTIFS($F$2:$F$26,L4,$Q$2:$Q$26,"Aprobada")&gt;0)),L4&amp;" ","")&amp;IF(NOT(OR(M4="",COUNTIF($F$2:$F$26,M4)=0,COUNTIFS($F$2:$F$26,M4,$Q$2:$Q$26,"Aprobada")&gt;0)),M4&amp;" ","")&amp;IF(NOT(OR(N4="",COUNTIF($F$2:$F$26,N4)=0,COUNTIFS($F$2:$F$26,N4,$Q$2:$Q$26,"Aprobada")&gt;0)),N4&amp;" ","")&amp;IF(NOT(OR(O4="",COUNTIF($F$2:$F$26,O4)=0,COUNTIFS($F$2:$F$26,O4,$Q$2:$Q$26,"Aprobada")&gt;0)),O4&amp;" ","")&amp;IF(NOT(OR(P4="",COUNTIF($F$2:$F$26,P4)=0,COUNTIFS($F$2:$F$26,P4,$Q$2:$Q$26,"Aprobada")&gt;0)),P4&amp;" ","")),IF(Q4="Cursada aprobada",TRIM(IF(NOT(OR(L4="",COUNTIF($F$2:$F$26,L4)=0,COUNTIFS($F$2:$F$26,L4,$Q$2:$Q$26,"Aprobada")&gt;0,AND(Resumen!$B$15="La cursada aprobada",COUNTIFS($F$2:$F$26,L4,$Q$2:$Q$26,"Cursada aprobada")&gt;0))),L4&amp;" ","")&amp;IF(NOT(OR(M4="",COUNTIF($F$2:$F$26,M4)=0,COUNTIFS($F$2:$F$26,M4,$Q$2:$Q$26,"Aprobada")&gt;0,AND(Resumen!$B$15="La cursada aprobada",COUNTIFS($F$2:$F$26,M4,$Q$2:$Q$26,"Cursada aprobada")&gt;0))),M4&amp;" ","")&amp;IF(NOT(OR(N4="",COUNTIF($F$2:$F$26,N4)=0,COUNTIFS($F$2:$F$26,N4,$Q$2:$Q$26,"Aprobada")&gt;0,AND(Resumen!$B$15="La cursada aprobada",COUNTIFS($F$2:$F$26,N4,$Q$2:$Q$26,"Cursada aprobada")&gt;0))),N4&amp;" ","")&amp;IF(NOT(OR(O4="",COUNTIF($F$2:$F$26,O4)=0,COUNTIFS($F$2:$F$26,O4,$Q$2:$Q$26,"Aprobada")&gt;0,AND(Resumen!$B$15="La cursada aprobada",COUNTIFS($F$2:$F$26,O4,$Q$2:$Q$26,"Cursada aprobada")&gt;0))),O4&amp;" ","")&amp;IF(NOT(OR(P4="",COUNTIF($F$2:$F$26,P4)=0,COUNTIFS($F$2:$F$26,P4,$Q$2:$Q$26,"Aprobada")&gt;0,AND(Resumen!$B$15="La cursada aprobada",COUNTIFS($F$2:$F$26,P4,$Q$2:$Q$26,"Cursada aprobada")&gt;0))),P4&amp;" ","")),""))</f>
        <v/>
      </c>
    </row>
    <row r="5" customFormat="false" ht="15" hidden="false" customHeight="false" outlineLevel="0" collapsed="false">
      <c r="A5" s="8" t="s">
        <v>240</v>
      </c>
      <c r="B5" s="8"/>
      <c r="C5" s="9" t="n">
        <v>1</v>
      </c>
      <c r="D5" s="9" t="s">
        <v>241</v>
      </c>
      <c r="E5" s="9" t="s">
        <v>63</v>
      </c>
      <c r="F5" s="9" t="n">
        <v>104</v>
      </c>
      <c r="G5" s="8" t="s">
        <v>64</v>
      </c>
      <c r="H5" s="9" t="s">
        <v>61</v>
      </c>
      <c r="I5" s="9" t="n">
        <v>6</v>
      </c>
      <c r="J5" s="9"/>
      <c r="K5" s="9" t="n">
        <v>96</v>
      </c>
      <c r="L5" s="9"/>
      <c r="M5" s="9"/>
      <c r="N5" s="9"/>
      <c r="O5" s="9"/>
      <c r="P5" s="9"/>
      <c r="Q5" s="10" t="s">
        <v>62</v>
      </c>
      <c r="R5" s="9" t="str">
        <f aca="false">IF(Q5="Aprobada","Ya aprobada",IF(Q5="Cursada aprobada","Ya cursada",IF(AND(OR(L5="",COUNTIF($F$2:$F$26,L5)=0,COUNTIFS($F$2:$F$26,L5,$Q$2:$Q$26,"Aprobada")&gt;0,AND(Resumen!$B$15="La cursada aprobada",COUNTIFS($F$2:$F$26,L5,$Q$2:$Q$26,"Cursada aprobada")&gt;0)),OR(M5="",COUNTIF($F$2:$F$26,M5)=0,COUNTIFS($F$2:$F$26,M5,$Q$2:$Q$26,"Aprobada")&gt;0,AND(Resumen!$B$15="La cursada aprobada",COUNTIFS($F$2:$F$26,M5,$Q$2:$Q$26,"Cursada aprobada")&gt;0)),OR(N5="",COUNTIF($F$2:$F$26,N5)=0,COUNTIFS($F$2:$F$26,N5,$Q$2:$Q$26,"Aprobada")&gt;0,AND(Resumen!$B$15="La cursada aprobada",COUNTIFS($F$2:$F$26,N5,$Q$2:$Q$26,"Cursada aprobada")&gt;0)),OR(O5="",COUNTIF($F$2:$F$26,O5)=0,COUNTIFS($F$2:$F$26,O5,$Q$2:$Q$26,"Aprobada")&gt;0,AND(Resumen!$B$15="La cursada aprobada",COUNTIFS($F$2:$F$26,O5,$Q$2:$Q$26,"Cursada aprobada")&gt;0)),OR(P5="",COUNTIF($F$2:$F$26,P5)=0,COUNTIFS($F$2:$F$26,P5,$Q$2:$Q$26,"Aprobada")&gt;0,AND(Resumen!$B$15="La cursada aprobada",COUNTIFS($F$2:$F$26,P5,$Q$2:$Q$26,"Cursada aprobada")&gt;0))),"Sí","No")))</f>
        <v>Sí</v>
      </c>
      <c r="S5" s="8" t="str">
        <f aca="false">TRIM(IF(NOT(OR(L5="",COUNTIF($F$2:$F$26,L5)=0,COUNTIFS($F$2:$F$26,L5,$Q$2:$Q$26,"Aprobada")&gt;0,AND(Resumen!$B$15="La cursada aprobada",COUNTIFS($F$2:$F$26,L5,$Q$2:$Q$26,"Cursada aprobada")&gt;0))),L5&amp;" ","")&amp;IF(NOT(OR(M5="",COUNTIF($F$2:$F$26,M5)=0,COUNTIFS($F$2:$F$26,M5,$Q$2:$Q$26,"Aprobada")&gt;0,AND(Resumen!$B$15="La cursada aprobada",COUNTIFS($F$2:$F$26,M5,$Q$2:$Q$26,"Cursada aprobada")&gt;0))),M5&amp;" ","")&amp;IF(NOT(OR(N5="",COUNTIF($F$2:$F$26,N5)=0,COUNTIFS($F$2:$F$26,N5,$Q$2:$Q$26,"Aprobada")&gt;0,AND(Resumen!$B$15="La cursada aprobada",COUNTIFS($F$2:$F$26,N5,$Q$2:$Q$26,"Cursada aprobada")&gt;0))),N5&amp;" ","")&amp;IF(NOT(OR(O5="",COUNTIF($F$2:$F$26,O5)=0,COUNTIFS($F$2:$F$26,O5,$Q$2:$Q$26,"Aprobada")&gt;0,AND(Resumen!$B$15="La cursada aprobada",COUNTIFS($F$2:$F$26,O5,$Q$2:$Q$26,"Cursada aprobada")&gt;0))),O5&amp;" ","")&amp;IF(NOT(OR(P5="",COUNTIF($F$2:$F$26,P5)=0,COUNTIFS($F$2:$F$26,P5,$Q$2:$Q$26,"Aprobada")&gt;0,AND(Resumen!$B$15="La cursada aprobada",COUNTIFS($F$2:$F$26,P5,$Q$2:$Q$26,"Cursada aprobada")&gt;0))),P5&amp;" ",""))</f>
        <v/>
      </c>
      <c r="T5" s="9" t="str">
        <f aca="false">IF(Q5="Cursada aprobada",IF(AND(OR(L5="",COUNTIF($F$2:$F$26,L5)=0,COUNTIFS($F$2:$F$26,L5,$Q$2:$Q$26,"Aprobada")&gt;0),OR(M5="",COUNTIF($F$2:$F$26,M5)=0,COUNTIFS($F$2:$F$26,M5,$Q$2:$Q$26,"Aprobada")&gt;0),OR(N5="",COUNTIF($F$2:$F$26,N5)=0,COUNTIFS($F$2:$F$26,N5,$Q$2:$Q$26,"Aprobada")&gt;0),OR(O5="",COUNTIF($F$2:$F$26,O5)=0,COUNTIFS($F$2:$F$26,O5,$Q$2:$Q$26,"Aprobada")&gt;0),OR(P5="",COUNTIF($F$2:$F$26,P5)=0,COUNTIFS($F$2:$F$26,P5,$Q$2:$Q$26,"Aprobada")&gt;0)),"Sí","No"),"")</f>
        <v/>
      </c>
      <c r="U5" s="9" t="str">
        <f aca="false">IF(Q5="Aprobada",TRIM(IF(NOT(OR(L5="",COUNTIF($F$2:$F$26,L5)=0,COUNTIFS($F$2:$F$26,L5,$Q$2:$Q$26,"Aprobada")&gt;0)),L5&amp;" ","")&amp;IF(NOT(OR(M5="",COUNTIF($F$2:$F$26,M5)=0,COUNTIFS($F$2:$F$26,M5,$Q$2:$Q$26,"Aprobada")&gt;0)),M5&amp;" ","")&amp;IF(NOT(OR(N5="",COUNTIF($F$2:$F$26,N5)=0,COUNTIFS($F$2:$F$26,N5,$Q$2:$Q$26,"Aprobada")&gt;0)),N5&amp;" ","")&amp;IF(NOT(OR(O5="",COUNTIF($F$2:$F$26,O5)=0,COUNTIFS($F$2:$F$26,O5,$Q$2:$Q$26,"Aprobada")&gt;0)),O5&amp;" ","")&amp;IF(NOT(OR(P5="",COUNTIF($F$2:$F$26,P5)=0,COUNTIFS($F$2:$F$26,P5,$Q$2:$Q$26,"Aprobada")&gt;0)),P5&amp;" ","")),IF(Q5="Cursada aprobada",TRIM(IF(NOT(OR(L5="",COUNTIF($F$2:$F$26,L5)=0,COUNTIFS($F$2:$F$26,L5,$Q$2:$Q$26,"Aprobada")&gt;0,AND(Resumen!$B$15="La cursada aprobada",COUNTIFS($F$2:$F$26,L5,$Q$2:$Q$26,"Cursada aprobada")&gt;0))),L5&amp;" ","")&amp;IF(NOT(OR(M5="",COUNTIF($F$2:$F$26,M5)=0,COUNTIFS($F$2:$F$26,M5,$Q$2:$Q$26,"Aprobada")&gt;0,AND(Resumen!$B$15="La cursada aprobada",COUNTIFS($F$2:$F$26,M5,$Q$2:$Q$26,"Cursada aprobada")&gt;0))),M5&amp;" ","")&amp;IF(NOT(OR(N5="",COUNTIF($F$2:$F$26,N5)=0,COUNTIFS($F$2:$F$26,N5,$Q$2:$Q$26,"Aprobada")&gt;0,AND(Resumen!$B$15="La cursada aprobada",COUNTIFS($F$2:$F$26,N5,$Q$2:$Q$26,"Cursada aprobada")&gt;0))),N5&amp;" ","")&amp;IF(NOT(OR(O5="",COUNTIF($F$2:$F$26,O5)=0,COUNTIFS($F$2:$F$26,O5,$Q$2:$Q$26,"Aprobada")&gt;0,AND(Resumen!$B$15="La cursada aprobada",COUNTIFS($F$2:$F$26,O5,$Q$2:$Q$26,"Cursada aprobada")&gt;0))),O5&amp;" ","")&amp;IF(NOT(OR(P5="",COUNTIF($F$2:$F$26,P5)=0,COUNTIFS($F$2:$F$26,P5,$Q$2:$Q$26,"Aprobada")&gt;0,AND(Resumen!$B$15="La cursada aprobada",COUNTIFS($F$2:$F$26,P5,$Q$2:$Q$26,"Cursada aprobada")&gt;0))),P5&amp;" ","")),""))</f>
        <v/>
      </c>
    </row>
    <row r="6" customFormat="false" ht="15" hidden="false" customHeight="false" outlineLevel="0" collapsed="false">
      <c r="A6" s="8" t="s">
        <v>240</v>
      </c>
      <c r="B6" s="8"/>
      <c r="C6" s="9" t="n">
        <v>1</v>
      </c>
      <c r="D6" s="9" t="s">
        <v>243</v>
      </c>
      <c r="E6" s="9" t="s">
        <v>69</v>
      </c>
      <c r="F6" s="9" t="n">
        <v>1092</v>
      </c>
      <c r="G6" s="8" t="s">
        <v>284</v>
      </c>
      <c r="H6" s="9" t="s">
        <v>61</v>
      </c>
      <c r="I6" s="9" t="n">
        <v>4</v>
      </c>
      <c r="J6" s="9"/>
      <c r="K6" s="9" t="n">
        <v>64</v>
      </c>
      <c r="L6" s="9"/>
      <c r="M6" s="9"/>
      <c r="N6" s="9"/>
      <c r="O6" s="9"/>
      <c r="P6" s="9"/>
      <c r="Q6" s="10" t="s">
        <v>62</v>
      </c>
      <c r="R6" s="9" t="str">
        <f aca="false">IF(Q6="Aprobada","Ya aprobada",IF(Q6="Cursada aprobada","Ya cursada",IF(AND(OR(L6="",COUNTIF($F$2:$F$26,L6)=0,COUNTIFS($F$2:$F$26,L6,$Q$2:$Q$26,"Aprobada")&gt;0,AND(Resumen!$B$15="La cursada aprobada",COUNTIFS($F$2:$F$26,L6,$Q$2:$Q$26,"Cursada aprobada")&gt;0)),OR(M6="",COUNTIF($F$2:$F$26,M6)=0,COUNTIFS($F$2:$F$26,M6,$Q$2:$Q$26,"Aprobada")&gt;0,AND(Resumen!$B$15="La cursada aprobada",COUNTIFS($F$2:$F$26,M6,$Q$2:$Q$26,"Cursada aprobada")&gt;0)),OR(N6="",COUNTIF($F$2:$F$26,N6)=0,COUNTIFS($F$2:$F$26,N6,$Q$2:$Q$26,"Aprobada")&gt;0,AND(Resumen!$B$15="La cursada aprobada",COUNTIFS($F$2:$F$26,N6,$Q$2:$Q$26,"Cursada aprobada")&gt;0)),OR(O6="",COUNTIF($F$2:$F$26,O6)=0,COUNTIFS($F$2:$F$26,O6,$Q$2:$Q$26,"Aprobada")&gt;0,AND(Resumen!$B$15="La cursada aprobada",COUNTIFS($F$2:$F$26,O6,$Q$2:$Q$26,"Cursada aprobada")&gt;0)),OR(P6="",COUNTIF($F$2:$F$26,P6)=0,COUNTIFS($F$2:$F$26,P6,$Q$2:$Q$26,"Aprobada")&gt;0,AND(Resumen!$B$15="La cursada aprobada",COUNTIFS($F$2:$F$26,P6,$Q$2:$Q$26,"Cursada aprobada")&gt;0))),"Sí","No")))</f>
        <v>Sí</v>
      </c>
      <c r="S6" s="8" t="str">
        <f aca="false">TRIM(IF(NOT(OR(L6="",COUNTIF($F$2:$F$26,L6)=0,COUNTIFS($F$2:$F$26,L6,$Q$2:$Q$26,"Aprobada")&gt;0,AND(Resumen!$B$15="La cursada aprobada",COUNTIFS($F$2:$F$26,L6,$Q$2:$Q$26,"Cursada aprobada")&gt;0))),L6&amp;" ","")&amp;IF(NOT(OR(M6="",COUNTIF($F$2:$F$26,M6)=0,COUNTIFS($F$2:$F$26,M6,$Q$2:$Q$26,"Aprobada")&gt;0,AND(Resumen!$B$15="La cursada aprobada",COUNTIFS($F$2:$F$26,M6,$Q$2:$Q$26,"Cursada aprobada")&gt;0))),M6&amp;" ","")&amp;IF(NOT(OR(N6="",COUNTIF($F$2:$F$26,N6)=0,COUNTIFS($F$2:$F$26,N6,$Q$2:$Q$26,"Aprobada")&gt;0,AND(Resumen!$B$15="La cursada aprobada",COUNTIFS($F$2:$F$26,N6,$Q$2:$Q$26,"Cursada aprobada")&gt;0))),N6&amp;" ","")&amp;IF(NOT(OR(O6="",COUNTIF($F$2:$F$26,O6)=0,COUNTIFS($F$2:$F$26,O6,$Q$2:$Q$26,"Aprobada")&gt;0,AND(Resumen!$B$15="La cursada aprobada",COUNTIFS($F$2:$F$26,O6,$Q$2:$Q$26,"Cursada aprobada")&gt;0))),O6&amp;" ","")&amp;IF(NOT(OR(P6="",COUNTIF($F$2:$F$26,P6)=0,COUNTIFS($F$2:$F$26,P6,$Q$2:$Q$26,"Aprobada")&gt;0,AND(Resumen!$B$15="La cursada aprobada",COUNTIFS($F$2:$F$26,P6,$Q$2:$Q$26,"Cursada aprobada")&gt;0))),P6&amp;" ",""))</f>
        <v/>
      </c>
      <c r="T6" s="9" t="str">
        <f aca="false">IF(Q6="Cursada aprobada",IF(AND(OR(L6="",COUNTIF($F$2:$F$26,L6)=0,COUNTIFS($F$2:$F$26,L6,$Q$2:$Q$26,"Aprobada")&gt;0),OR(M6="",COUNTIF($F$2:$F$26,M6)=0,COUNTIFS($F$2:$F$26,M6,$Q$2:$Q$26,"Aprobada")&gt;0),OR(N6="",COUNTIF($F$2:$F$26,N6)=0,COUNTIFS($F$2:$F$26,N6,$Q$2:$Q$26,"Aprobada")&gt;0),OR(O6="",COUNTIF($F$2:$F$26,O6)=0,COUNTIFS($F$2:$F$26,O6,$Q$2:$Q$26,"Aprobada")&gt;0),OR(P6="",COUNTIF($F$2:$F$26,P6)=0,COUNTIFS($F$2:$F$26,P6,$Q$2:$Q$26,"Aprobada")&gt;0)),"Sí","No"),"")</f>
        <v/>
      </c>
      <c r="U6" s="9" t="str">
        <f aca="false">IF(Q6="Aprobada",TRIM(IF(NOT(OR(L6="",COUNTIF($F$2:$F$26,L6)=0,COUNTIFS($F$2:$F$26,L6,$Q$2:$Q$26,"Aprobada")&gt;0)),L6&amp;" ","")&amp;IF(NOT(OR(M6="",COUNTIF($F$2:$F$26,M6)=0,COUNTIFS($F$2:$F$26,M6,$Q$2:$Q$26,"Aprobada")&gt;0)),M6&amp;" ","")&amp;IF(NOT(OR(N6="",COUNTIF($F$2:$F$26,N6)=0,COUNTIFS($F$2:$F$26,N6,$Q$2:$Q$26,"Aprobada")&gt;0)),N6&amp;" ","")&amp;IF(NOT(OR(O6="",COUNTIF($F$2:$F$26,O6)=0,COUNTIFS($F$2:$F$26,O6,$Q$2:$Q$26,"Aprobada")&gt;0)),O6&amp;" ","")&amp;IF(NOT(OR(P6="",COUNTIF($F$2:$F$26,P6)=0,COUNTIFS($F$2:$F$26,P6,$Q$2:$Q$26,"Aprobada")&gt;0)),P6&amp;" ","")),IF(Q6="Cursada aprobada",TRIM(IF(NOT(OR(L6="",COUNTIF($F$2:$F$26,L6)=0,COUNTIFS($F$2:$F$26,L6,$Q$2:$Q$26,"Aprobada")&gt;0,AND(Resumen!$B$15="La cursada aprobada",COUNTIFS($F$2:$F$26,L6,$Q$2:$Q$26,"Cursada aprobada")&gt;0))),L6&amp;" ","")&amp;IF(NOT(OR(M6="",COUNTIF($F$2:$F$26,M6)=0,COUNTIFS($F$2:$F$26,M6,$Q$2:$Q$26,"Aprobada")&gt;0,AND(Resumen!$B$15="La cursada aprobada",COUNTIFS($F$2:$F$26,M6,$Q$2:$Q$26,"Cursada aprobada")&gt;0))),M6&amp;" ","")&amp;IF(NOT(OR(N6="",COUNTIF($F$2:$F$26,N6)=0,COUNTIFS($F$2:$F$26,N6,$Q$2:$Q$26,"Aprobada")&gt;0,AND(Resumen!$B$15="La cursada aprobada",COUNTIFS($F$2:$F$26,N6,$Q$2:$Q$26,"Cursada aprobada")&gt;0))),N6&amp;" ","")&amp;IF(NOT(OR(O6="",COUNTIF($F$2:$F$26,O6)=0,COUNTIFS($F$2:$F$26,O6,$Q$2:$Q$26,"Aprobada")&gt;0,AND(Resumen!$B$15="La cursada aprobada",COUNTIFS($F$2:$F$26,O6,$Q$2:$Q$26,"Cursada aprobada")&gt;0))),O6&amp;" ","")&amp;IF(NOT(OR(P6="",COUNTIF($F$2:$F$26,P6)=0,COUNTIFS($F$2:$F$26,P6,$Q$2:$Q$26,"Aprobada")&gt;0,AND(Resumen!$B$15="La cursada aprobada",COUNTIFS($F$2:$F$26,P6,$Q$2:$Q$26,"Cursada aprobada")&gt;0))),P6&amp;" ","")),""))</f>
        <v/>
      </c>
    </row>
    <row r="7" customFormat="false" ht="15" hidden="false" customHeight="false" outlineLevel="0" collapsed="false">
      <c r="A7" s="8" t="s">
        <v>240</v>
      </c>
      <c r="B7" s="8"/>
      <c r="C7" s="9" t="n">
        <v>1</v>
      </c>
      <c r="D7" s="9" t="s">
        <v>243</v>
      </c>
      <c r="E7" s="9" t="s">
        <v>63</v>
      </c>
      <c r="F7" s="9" t="n">
        <v>1104</v>
      </c>
      <c r="G7" s="8" t="s">
        <v>285</v>
      </c>
      <c r="H7" s="9" t="s">
        <v>61</v>
      </c>
      <c r="I7" s="9" t="n">
        <v>4</v>
      </c>
      <c r="J7" s="9"/>
      <c r="K7" s="9" t="n">
        <v>64</v>
      </c>
      <c r="L7" s="9"/>
      <c r="M7" s="9"/>
      <c r="N7" s="9"/>
      <c r="O7" s="9"/>
      <c r="P7" s="9"/>
      <c r="Q7" s="10" t="s">
        <v>62</v>
      </c>
      <c r="R7" s="9" t="str">
        <f aca="false">IF(Q7="Aprobada","Ya aprobada",IF(Q7="Cursada aprobada","Ya cursada",IF(AND(OR(L7="",COUNTIF($F$2:$F$26,L7)=0,COUNTIFS($F$2:$F$26,L7,$Q$2:$Q$26,"Aprobada")&gt;0,AND(Resumen!$B$15="La cursada aprobada",COUNTIFS($F$2:$F$26,L7,$Q$2:$Q$26,"Cursada aprobada")&gt;0)),OR(M7="",COUNTIF($F$2:$F$26,M7)=0,COUNTIFS($F$2:$F$26,M7,$Q$2:$Q$26,"Aprobada")&gt;0,AND(Resumen!$B$15="La cursada aprobada",COUNTIFS($F$2:$F$26,M7,$Q$2:$Q$26,"Cursada aprobada")&gt;0)),OR(N7="",COUNTIF($F$2:$F$26,N7)=0,COUNTIFS($F$2:$F$26,N7,$Q$2:$Q$26,"Aprobada")&gt;0,AND(Resumen!$B$15="La cursada aprobada",COUNTIFS($F$2:$F$26,N7,$Q$2:$Q$26,"Cursada aprobada")&gt;0)),OR(O7="",COUNTIF($F$2:$F$26,O7)=0,COUNTIFS($F$2:$F$26,O7,$Q$2:$Q$26,"Aprobada")&gt;0,AND(Resumen!$B$15="La cursada aprobada",COUNTIFS($F$2:$F$26,O7,$Q$2:$Q$26,"Cursada aprobada")&gt;0)),OR(P7="",COUNTIF($F$2:$F$26,P7)=0,COUNTIFS($F$2:$F$26,P7,$Q$2:$Q$26,"Aprobada")&gt;0,AND(Resumen!$B$15="La cursada aprobada",COUNTIFS($F$2:$F$26,P7,$Q$2:$Q$26,"Cursada aprobada")&gt;0))),"Sí","No")))</f>
        <v>Sí</v>
      </c>
      <c r="S7" s="8" t="str">
        <f aca="false">TRIM(IF(NOT(OR(L7="",COUNTIF($F$2:$F$26,L7)=0,COUNTIFS($F$2:$F$26,L7,$Q$2:$Q$26,"Aprobada")&gt;0,AND(Resumen!$B$15="La cursada aprobada",COUNTIFS($F$2:$F$26,L7,$Q$2:$Q$26,"Cursada aprobada")&gt;0))),L7&amp;" ","")&amp;IF(NOT(OR(M7="",COUNTIF($F$2:$F$26,M7)=0,COUNTIFS($F$2:$F$26,M7,$Q$2:$Q$26,"Aprobada")&gt;0,AND(Resumen!$B$15="La cursada aprobada",COUNTIFS($F$2:$F$26,M7,$Q$2:$Q$26,"Cursada aprobada")&gt;0))),M7&amp;" ","")&amp;IF(NOT(OR(N7="",COUNTIF($F$2:$F$26,N7)=0,COUNTIFS($F$2:$F$26,N7,$Q$2:$Q$26,"Aprobada")&gt;0,AND(Resumen!$B$15="La cursada aprobada",COUNTIFS($F$2:$F$26,N7,$Q$2:$Q$26,"Cursada aprobada")&gt;0))),N7&amp;" ","")&amp;IF(NOT(OR(O7="",COUNTIF($F$2:$F$26,O7)=0,COUNTIFS($F$2:$F$26,O7,$Q$2:$Q$26,"Aprobada")&gt;0,AND(Resumen!$B$15="La cursada aprobada",COUNTIFS($F$2:$F$26,O7,$Q$2:$Q$26,"Cursada aprobada")&gt;0))),O7&amp;" ","")&amp;IF(NOT(OR(P7="",COUNTIF($F$2:$F$26,P7)=0,COUNTIFS($F$2:$F$26,P7,$Q$2:$Q$26,"Aprobada")&gt;0,AND(Resumen!$B$15="La cursada aprobada",COUNTIFS($F$2:$F$26,P7,$Q$2:$Q$26,"Cursada aprobada")&gt;0))),P7&amp;" ",""))</f>
        <v/>
      </c>
      <c r="T7" s="9" t="str">
        <f aca="false">IF(Q7="Cursada aprobada",IF(AND(OR(L7="",COUNTIF($F$2:$F$26,L7)=0,COUNTIFS($F$2:$F$26,L7,$Q$2:$Q$26,"Aprobada")&gt;0),OR(M7="",COUNTIF($F$2:$F$26,M7)=0,COUNTIFS($F$2:$F$26,M7,$Q$2:$Q$26,"Aprobada")&gt;0),OR(N7="",COUNTIF($F$2:$F$26,N7)=0,COUNTIFS($F$2:$F$26,N7,$Q$2:$Q$26,"Aprobada")&gt;0),OR(O7="",COUNTIF($F$2:$F$26,O7)=0,COUNTIFS($F$2:$F$26,O7,$Q$2:$Q$26,"Aprobada")&gt;0),OR(P7="",COUNTIF($F$2:$F$26,P7)=0,COUNTIFS($F$2:$F$26,P7,$Q$2:$Q$26,"Aprobada")&gt;0)),"Sí","No"),"")</f>
        <v/>
      </c>
      <c r="U7" s="9" t="str">
        <f aca="false">IF(Q7="Aprobada",TRIM(IF(NOT(OR(L7="",COUNTIF($F$2:$F$26,L7)=0,COUNTIFS($F$2:$F$26,L7,$Q$2:$Q$26,"Aprobada")&gt;0)),L7&amp;" ","")&amp;IF(NOT(OR(M7="",COUNTIF($F$2:$F$26,M7)=0,COUNTIFS($F$2:$F$26,M7,$Q$2:$Q$26,"Aprobada")&gt;0)),M7&amp;" ","")&amp;IF(NOT(OR(N7="",COUNTIF($F$2:$F$26,N7)=0,COUNTIFS($F$2:$F$26,N7,$Q$2:$Q$26,"Aprobada")&gt;0)),N7&amp;" ","")&amp;IF(NOT(OR(O7="",COUNTIF($F$2:$F$26,O7)=0,COUNTIFS($F$2:$F$26,O7,$Q$2:$Q$26,"Aprobada")&gt;0)),O7&amp;" ","")&amp;IF(NOT(OR(P7="",COUNTIF($F$2:$F$26,P7)=0,COUNTIFS($F$2:$F$26,P7,$Q$2:$Q$26,"Aprobada")&gt;0)),P7&amp;" ","")),IF(Q7="Cursada aprobada",TRIM(IF(NOT(OR(L7="",COUNTIF($F$2:$F$26,L7)=0,COUNTIFS($F$2:$F$26,L7,$Q$2:$Q$26,"Aprobada")&gt;0,AND(Resumen!$B$15="La cursada aprobada",COUNTIFS($F$2:$F$26,L7,$Q$2:$Q$26,"Cursada aprobada")&gt;0))),L7&amp;" ","")&amp;IF(NOT(OR(M7="",COUNTIF($F$2:$F$26,M7)=0,COUNTIFS($F$2:$F$26,M7,$Q$2:$Q$26,"Aprobada")&gt;0,AND(Resumen!$B$15="La cursada aprobada",COUNTIFS($F$2:$F$26,M7,$Q$2:$Q$26,"Cursada aprobada")&gt;0))),M7&amp;" ","")&amp;IF(NOT(OR(N7="",COUNTIF($F$2:$F$26,N7)=0,COUNTIFS($F$2:$F$26,N7,$Q$2:$Q$26,"Aprobada")&gt;0,AND(Resumen!$B$15="La cursada aprobada",COUNTIFS($F$2:$F$26,N7,$Q$2:$Q$26,"Cursada aprobada")&gt;0))),N7&amp;" ","")&amp;IF(NOT(OR(O7="",COUNTIF($F$2:$F$26,O7)=0,COUNTIFS($F$2:$F$26,O7,$Q$2:$Q$26,"Aprobada")&gt;0,AND(Resumen!$B$15="La cursada aprobada",COUNTIFS($F$2:$F$26,O7,$Q$2:$Q$26,"Cursada aprobada")&gt;0))),O7&amp;" ","")&amp;IF(NOT(OR(P7="",COUNTIF($F$2:$F$26,P7)=0,COUNTIFS($F$2:$F$26,P7,$Q$2:$Q$26,"Aprobada")&gt;0,AND(Resumen!$B$15="La cursada aprobada",COUNTIFS($F$2:$F$26,P7,$Q$2:$Q$26,"Cursada aprobada")&gt;0))),P7&amp;" ","")),""))</f>
        <v/>
      </c>
    </row>
    <row r="8" customFormat="false" ht="15" hidden="false" customHeight="false" outlineLevel="0" collapsed="false">
      <c r="A8" s="8" t="s">
        <v>240</v>
      </c>
      <c r="B8" s="8"/>
      <c r="C8" s="9" t="n">
        <v>1</v>
      </c>
      <c r="D8" s="9" t="s">
        <v>243</v>
      </c>
      <c r="E8" s="9" t="s">
        <v>69</v>
      </c>
      <c r="F8" s="9" t="n">
        <v>218</v>
      </c>
      <c r="G8" s="8" t="s">
        <v>151</v>
      </c>
      <c r="H8" s="9" t="s">
        <v>71</v>
      </c>
      <c r="I8" s="9" t="n">
        <v>6</v>
      </c>
      <c r="J8" s="9"/>
      <c r="K8" s="9" t="n">
        <v>96</v>
      </c>
      <c r="L8" s="9"/>
      <c r="M8" s="9"/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cursada",IF(AND(OR(L8="",COUNTIF($F$2:$F$26,L8)=0,COUNTIFS($F$2:$F$26,L8,$Q$2:$Q$26,"Aprobada")&gt;0,AND(Resumen!$B$15="La cursada aprobada",COUNTIFS($F$2:$F$26,L8,$Q$2:$Q$26,"Cursada aprobada")&gt;0)),OR(M8="",COUNTIF($F$2:$F$26,M8)=0,COUNTIFS($F$2:$F$26,M8,$Q$2:$Q$26,"Aprobada")&gt;0,AND(Resumen!$B$15="La cursada aprobada",COUNTIFS($F$2:$F$26,M8,$Q$2:$Q$26,"Cursada aprobada")&gt;0)),OR(N8="",COUNTIF($F$2:$F$26,N8)=0,COUNTIFS($F$2:$F$26,N8,$Q$2:$Q$26,"Aprobada")&gt;0,AND(Resumen!$B$15="La cursada aprobada",COUNTIFS($F$2:$F$26,N8,$Q$2:$Q$26,"Cursada aprobada")&gt;0)),OR(O8="",COUNTIF($F$2:$F$26,O8)=0,COUNTIFS($F$2:$F$26,O8,$Q$2:$Q$26,"Aprobada")&gt;0,AND(Resumen!$B$15="La cursada aprobada",COUNTIFS($F$2:$F$26,O8,$Q$2:$Q$26,"Cursada aprobada")&gt;0)),OR(P8="",COUNTIF($F$2:$F$26,P8)=0,COUNTIFS($F$2:$F$26,P8,$Q$2:$Q$26,"Aprobada")&gt;0,AND(Resumen!$B$15="La cursada aprobada",COUNTIFS($F$2:$F$26,P8,$Q$2:$Q$26,"Cursada aprobada")&gt;0))),"Sí","No")))</f>
        <v>Sí</v>
      </c>
      <c r="S8" s="8" t="str">
        <f aca="false">TRIM(IF(NOT(OR(L8="",COUNTIF($F$2:$F$26,L8)=0,COUNTIFS($F$2:$F$26,L8,$Q$2:$Q$26,"Aprobada")&gt;0,AND(Resumen!$B$15="La cursada aprobada",COUNTIFS($F$2:$F$26,L8,$Q$2:$Q$26,"Cursada aprobada")&gt;0))),L8&amp;" ","")&amp;IF(NOT(OR(M8="",COUNTIF($F$2:$F$26,M8)=0,COUNTIFS($F$2:$F$26,M8,$Q$2:$Q$26,"Aprobada")&gt;0,AND(Resumen!$B$15="La cursada aprobada",COUNTIFS($F$2:$F$26,M8,$Q$2:$Q$26,"Cursada aprobada")&gt;0))),M8&amp;" ","")&amp;IF(NOT(OR(N8="",COUNTIF($F$2:$F$26,N8)=0,COUNTIFS($F$2:$F$26,N8,$Q$2:$Q$26,"Aprobada")&gt;0,AND(Resumen!$B$15="La cursada aprobada",COUNTIFS($F$2:$F$26,N8,$Q$2:$Q$26,"Cursada aprobada")&gt;0))),N8&amp;" ","")&amp;IF(NOT(OR(O8="",COUNTIF($F$2:$F$26,O8)=0,COUNTIFS($F$2:$F$26,O8,$Q$2:$Q$26,"Aprobada")&gt;0,AND(Resumen!$B$15="La cursada aprobada",COUNTIFS($F$2:$F$26,O8,$Q$2:$Q$26,"Cursada aprobada")&gt;0))),O8&amp;" ","")&amp;IF(NOT(OR(P8="",COUNTIF($F$2:$F$26,P8)=0,COUNTIFS($F$2:$F$26,P8,$Q$2:$Q$26,"Aprobada")&gt;0,AND(Resumen!$B$15="La cursada aprobada",COUNTIFS($F$2:$F$26,P8,$Q$2:$Q$26,"Cursada aprobada")&gt;0))),P8&amp;" ",""))</f>
        <v/>
      </c>
      <c r="T8" s="9" t="str">
        <f aca="false">IF(Q8="Cursada aprobada",IF(AND(OR(L8="",COUNTIF($F$2:$F$26,L8)=0,COUNTIFS($F$2:$F$26,L8,$Q$2:$Q$26,"Aprobada")&gt;0),OR(M8="",COUNTIF($F$2:$F$26,M8)=0,COUNTIFS($F$2:$F$26,M8,$Q$2:$Q$26,"Aprobada")&gt;0),OR(N8="",COUNTIF($F$2:$F$26,N8)=0,COUNTIFS($F$2:$F$26,N8,$Q$2:$Q$26,"Aprobada")&gt;0),OR(O8="",COUNTIF($F$2:$F$26,O8)=0,COUNTIFS($F$2:$F$26,O8,$Q$2:$Q$26,"Aprobada")&gt;0),OR(P8="",COUNTIF($F$2:$F$26,P8)=0,COUNTIFS($F$2:$F$26,P8,$Q$2:$Q$26,"Aprobada")&gt;0)),"Sí","No"),"")</f>
        <v/>
      </c>
      <c r="U8" s="9" t="str">
        <f aca="false">IF(Q8="Aprobada",TRIM(IF(NOT(OR(L8="",COUNTIF($F$2:$F$26,L8)=0,COUNTIFS($F$2:$F$26,L8,$Q$2:$Q$26,"Aprobada")&gt;0)),L8&amp;" ","")&amp;IF(NOT(OR(M8="",COUNTIF($F$2:$F$26,M8)=0,COUNTIFS($F$2:$F$26,M8,$Q$2:$Q$26,"Aprobada")&gt;0)),M8&amp;" ","")&amp;IF(NOT(OR(N8="",COUNTIF($F$2:$F$26,N8)=0,COUNTIFS($F$2:$F$26,N8,$Q$2:$Q$26,"Aprobada")&gt;0)),N8&amp;" ","")&amp;IF(NOT(OR(O8="",COUNTIF($F$2:$F$26,O8)=0,COUNTIFS($F$2:$F$26,O8,$Q$2:$Q$26,"Aprobada")&gt;0)),O8&amp;" ","")&amp;IF(NOT(OR(P8="",COUNTIF($F$2:$F$26,P8)=0,COUNTIFS($F$2:$F$26,P8,$Q$2:$Q$26,"Aprobada")&gt;0)),P8&amp;" ","")),IF(Q8="Cursada aprobada",TRIM(IF(NOT(OR(L8="",COUNTIF($F$2:$F$26,L8)=0,COUNTIFS($F$2:$F$26,L8,$Q$2:$Q$26,"Aprobada")&gt;0,AND(Resumen!$B$15="La cursada aprobada",COUNTIFS($F$2:$F$26,L8,$Q$2:$Q$26,"Cursada aprobada")&gt;0))),L8&amp;" ","")&amp;IF(NOT(OR(M8="",COUNTIF($F$2:$F$26,M8)=0,COUNTIFS($F$2:$F$26,M8,$Q$2:$Q$26,"Aprobada")&gt;0,AND(Resumen!$B$15="La cursada aprobada",COUNTIFS($F$2:$F$26,M8,$Q$2:$Q$26,"Cursada aprobada")&gt;0))),M8&amp;" ","")&amp;IF(NOT(OR(N8="",COUNTIF($F$2:$F$26,N8)=0,COUNTIFS($F$2:$F$26,N8,$Q$2:$Q$26,"Aprobada")&gt;0,AND(Resumen!$B$15="La cursada aprobada",COUNTIFS($F$2:$F$26,N8,$Q$2:$Q$26,"Cursada aprobada")&gt;0))),N8&amp;" ","")&amp;IF(NOT(OR(O8="",COUNTIF($F$2:$F$26,O8)=0,COUNTIFS($F$2:$F$26,O8,$Q$2:$Q$26,"Aprobada")&gt;0,AND(Resumen!$B$15="La cursada aprobada",COUNTIFS($F$2:$F$26,O8,$Q$2:$Q$26,"Cursada aprobada")&gt;0))),O8&amp;" ","")&amp;IF(NOT(OR(P8="",COUNTIF($F$2:$F$26,P8)=0,COUNTIFS($F$2:$F$26,P8,$Q$2:$Q$26,"Aprobada")&gt;0,AND(Resumen!$B$15="La cursada aprobada",COUNTIFS($F$2:$F$26,P8,$Q$2:$Q$26,"Cursada aprobada")&gt;0))),P8&amp;" ","")),""))</f>
        <v/>
      </c>
    </row>
    <row r="9" customFormat="false" ht="15" hidden="false" customHeight="false" outlineLevel="0" collapsed="false">
      <c r="A9" s="8" t="s">
        <v>240</v>
      </c>
      <c r="B9" s="8"/>
      <c r="C9" s="9" t="n">
        <v>1</v>
      </c>
      <c r="D9" s="9" t="s">
        <v>243</v>
      </c>
      <c r="E9" s="9" t="s">
        <v>77</v>
      </c>
      <c r="F9" s="9" t="n">
        <v>1090</v>
      </c>
      <c r="G9" s="8" t="s">
        <v>286</v>
      </c>
      <c r="H9" s="9" t="s">
        <v>61</v>
      </c>
      <c r="I9" s="9" t="n">
        <v>4</v>
      </c>
      <c r="J9" s="9"/>
      <c r="K9" s="9" t="n">
        <v>64</v>
      </c>
      <c r="L9" s="9"/>
      <c r="M9" s="9"/>
      <c r="N9" s="9"/>
      <c r="O9" s="9"/>
      <c r="P9" s="9"/>
      <c r="Q9" s="10" t="s">
        <v>62</v>
      </c>
      <c r="R9" s="9" t="str">
        <f aca="false">IF(Q9="Aprobada","Ya aprobada",IF(Q9="Cursada aprobada","Ya cursada",IF(AND(OR(L9="",COUNTIF($F$2:$F$26,L9)=0,COUNTIFS($F$2:$F$26,L9,$Q$2:$Q$26,"Aprobada")&gt;0,AND(Resumen!$B$15="La cursada aprobada",COUNTIFS($F$2:$F$26,L9,$Q$2:$Q$26,"Cursada aprobada")&gt;0)),OR(M9="",COUNTIF($F$2:$F$26,M9)=0,COUNTIFS($F$2:$F$26,M9,$Q$2:$Q$26,"Aprobada")&gt;0,AND(Resumen!$B$15="La cursada aprobada",COUNTIFS($F$2:$F$26,M9,$Q$2:$Q$26,"Cursada aprobada")&gt;0)),OR(N9="",COUNTIF($F$2:$F$26,N9)=0,COUNTIFS($F$2:$F$26,N9,$Q$2:$Q$26,"Aprobada")&gt;0,AND(Resumen!$B$15="La cursada aprobada",COUNTIFS($F$2:$F$26,N9,$Q$2:$Q$26,"Cursada aprobada")&gt;0)),OR(O9="",COUNTIF($F$2:$F$26,O9)=0,COUNTIFS($F$2:$F$26,O9,$Q$2:$Q$26,"Aprobada")&gt;0,AND(Resumen!$B$15="La cursada aprobada",COUNTIFS($F$2:$F$26,O9,$Q$2:$Q$26,"Cursada aprobada")&gt;0)),OR(P9="",COUNTIF($F$2:$F$26,P9)=0,COUNTIFS($F$2:$F$26,P9,$Q$2:$Q$26,"Aprobada")&gt;0,AND(Resumen!$B$15="La cursada aprobada",COUNTIFS($F$2:$F$26,P9,$Q$2:$Q$26,"Cursada aprobada")&gt;0))),"Sí","No")))</f>
        <v>Sí</v>
      </c>
      <c r="S9" s="8" t="str">
        <f aca="false">TRIM(IF(NOT(OR(L9="",COUNTIF($F$2:$F$26,L9)=0,COUNTIFS($F$2:$F$26,L9,$Q$2:$Q$26,"Aprobada")&gt;0,AND(Resumen!$B$15="La cursada aprobada",COUNTIFS($F$2:$F$26,L9,$Q$2:$Q$26,"Cursada aprobada")&gt;0))),L9&amp;" ","")&amp;IF(NOT(OR(M9="",COUNTIF($F$2:$F$26,M9)=0,COUNTIFS($F$2:$F$26,M9,$Q$2:$Q$26,"Aprobada")&gt;0,AND(Resumen!$B$15="La cursada aprobada",COUNTIFS($F$2:$F$26,M9,$Q$2:$Q$26,"Cursada aprobada")&gt;0))),M9&amp;" ","")&amp;IF(NOT(OR(N9="",COUNTIF($F$2:$F$26,N9)=0,COUNTIFS($F$2:$F$26,N9,$Q$2:$Q$26,"Aprobada")&gt;0,AND(Resumen!$B$15="La cursada aprobada",COUNTIFS($F$2:$F$26,N9,$Q$2:$Q$26,"Cursada aprobada")&gt;0))),N9&amp;" ","")&amp;IF(NOT(OR(O9="",COUNTIF($F$2:$F$26,O9)=0,COUNTIFS($F$2:$F$26,O9,$Q$2:$Q$26,"Aprobada")&gt;0,AND(Resumen!$B$15="La cursada aprobada",COUNTIFS($F$2:$F$26,O9,$Q$2:$Q$26,"Cursada aprobada")&gt;0))),O9&amp;" ","")&amp;IF(NOT(OR(P9="",COUNTIF($F$2:$F$26,P9)=0,COUNTIFS($F$2:$F$26,P9,$Q$2:$Q$26,"Aprobada")&gt;0,AND(Resumen!$B$15="La cursada aprobada",COUNTIFS($F$2:$F$26,P9,$Q$2:$Q$26,"Cursada aprobada")&gt;0))),P9&amp;" ",""))</f>
        <v/>
      </c>
      <c r="T9" s="9" t="str">
        <f aca="false">IF(Q9="Cursada aprobada",IF(AND(OR(L9="",COUNTIF($F$2:$F$26,L9)=0,COUNTIFS($F$2:$F$26,L9,$Q$2:$Q$26,"Aprobada")&gt;0),OR(M9="",COUNTIF($F$2:$F$26,M9)=0,COUNTIFS($F$2:$F$26,M9,$Q$2:$Q$26,"Aprobada")&gt;0),OR(N9="",COUNTIF($F$2:$F$26,N9)=0,COUNTIFS($F$2:$F$26,N9,$Q$2:$Q$26,"Aprobada")&gt;0),OR(O9="",COUNTIF($F$2:$F$26,O9)=0,COUNTIFS($F$2:$F$26,O9,$Q$2:$Q$26,"Aprobada")&gt;0),OR(P9="",COUNTIF($F$2:$F$26,P9)=0,COUNTIFS($F$2:$F$26,P9,$Q$2:$Q$26,"Aprobada")&gt;0)),"Sí","No"),"")</f>
        <v/>
      </c>
      <c r="U9" s="9" t="str">
        <f aca="false">IF(Q9="Aprobada",TRIM(IF(NOT(OR(L9="",COUNTIF($F$2:$F$26,L9)=0,COUNTIFS($F$2:$F$26,L9,$Q$2:$Q$26,"Aprobada")&gt;0)),L9&amp;" ","")&amp;IF(NOT(OR(M9="",COUNTIF($F$2:$F$26,M9)=0,COUNTIFS($F$2:$F$26,M9,$Q$2:$Q$26,"Aprobada")&gt;0)),M9&amp;" ","")&amp;IF(NOT(OR(N9="",COUNTIF($F$2:$F$26,N9)=0,COUNTIFS($F$2:$F$26,N9,$Q$2:$Q$26,"Aprobada")&gt;0)),N9&amp;" ","")&amp;IF(NOT(OR(O9="",COUNTIF($F$2:$F$26,O9)=0,COUNTIFS($F$2:$F$26,O9,$Q$2:$Q$26,"Aprobada")&gt;0)),O9&amp;" ","")&amp;IF(NOT(OR(P9="",COUNTIF($F$2:$F$26,P9)=0,COUNTIFS($F$2:$F$26,P9,$Q$2:$Q$26,"Aprobada")&gt;0)),P9&amp;" ","")),IF(Q9="Cursada aprobada",TRIM(IF(NOT(OR(L9="",COUNTIF($F$2:$F$26,L9)=0,COUNTIFS($F$2:$F$26,L9,$Q$2:$Q$26,"Aprobada")&gt;0,AND(Resumen!$B$15="La cursada aprobada",COUNTIFS($F$2:$F$26,L9,$Q$2:$Q$26,"Cursada aprobada")&gt;0))),L9&amp;" ","")&amp;IF(NOT(OR(M9="",COUNTIF($F$2:$F$26,M9)=0,COUNTIFS($F$2:$F$26,M9,$Q$2:$Q$26,"Aprobada")&gt;0,AND(Resumen!$B$15="La cursada aprobada",COUNTIFS($F$2:$F$26,M9,$Q$2:$Q$26,"Cursada aprobada")&gt;0))),M9&amp;" ","")&amp;IF(NOT(OR(N9="",COUNTIF($F$2:$F$26,N9)=0,COUNTIFS($F$2:$F$26,N9,$Q$2:$Q$26,"Aprobada")&gt;0,AND(Resumen!$B$15="La cursada aprobada",COUNTIFS($F$2:$F$26,N9,$Q$2:$Q$26,"Cursada aprobada")&gt;0))),N9&amp;" ","")&amp;IF(NOT(OR(O9="",COUNTIF($F$2:$F$26,O9)=0,COUNTIFS($F$2:$F$26,O9,$Q$2:$Q$26,"Aprobada")&gt;0,AND(Resumen!$B$15="La cursada aprobada",COUNTIFS($F$2:$F$26,O9,$Q$2:$Q$26,"Cursada aprobada")&gt;0))),O9&amp;" ","")&amp;IF(NOT(OR(P9="",COUNTIF($F$2:$F$26,P9)=0,COUNTIFS($F$2:$F$26,P9,$Q$2:$Q$26,"Aprobada")&gt;0,AND(Resumen!$B$15="La cursada aprobada",COUNTIFS($F$2:$F$26,P9,$Q$2:$Q$26,"Cursada aprobada")&gt;0))),P9&amp;" ","")),""))</f>
        <v/>
      </c>
    </row>
    <row r="10" customFormat="false" ht="15" hidden="false" customHeight="false" outlineLevel="0" collapsed="false">
      <c r="A10" s="8" t="s">
        <v>240</v>
      </c>
      <c r="B10" s="8"/>
      <c r="C10" s="9" t="n">
        <v>2</v>
      </c>
      <c r="D10" s="9" t="s">
        <v>241</v>
      </c>
      <c r="E10" s="9" t="s">
        <v>69</v>
      </c>
      <c r="F10" s="9" t="n">
        <v>1105</v>
      </c>
      <c r="G10" s="8" t="s">
        <v>261</v>
      </c>
      <c r="H10" s="9" t="s">
        <v>71</v>
      </c>
      <c r="I10" s="9" t="n">
        <v>4</v>
      </c>
      <c r="J10" s="9"/>
      <c r="K10" s="9" t="n">
        <v>64</v>
      </c>
      <c r="L10" s="9" t="n">
        <v>1091</v>
      </c>
      <c r="M10" s="9" t="n">
        <v>1093</v>
      </c>
      <c r="N10" s="9" t="n">
        <v>1104</v>
      </c>
      <c r="O10" s="9"/>
      <c r="P10" s="9"/>
      <c r="Q10" s="10" t="s">
        <v>62</v>
      </c>
      <c r="R10" s="9" t="str">
        <f aca="false">IF(Q10="Aprobada","Ya aprobada",IF(Q10="Cursada aprobada","Ya cursada",IF(AND(OR(L10="",COUNTIF($F$2:$F$26,L10)=0,COUNTIFS($F$2:$F$26,L10,$Q$2:$Q$26,"Aprobada")&gt;0,AND(Resumen!$B$15="La cursada aprobada",COUNTIFS($F$2:$F$26,L10,$Q$2:$Q$26,"Cursada aprobada")&gt;0)),OR(M10="",COUNTIF($F$2:$F$26,M10)=0,COUNTIFS($F$2:$F$26,M10,$Q$2:$Q$26,"Aprobada")&gt;0,AND(Resumen!$B$15="La cursada aprobada",COUNTIFS($F$2:$F$26,M10,$Q$2:$Q$26,"Cursada aprobada")&gt;0)),OR(N10="",COUNTIF($F$2:$F$26,N10)=0,COUNTIFS($F$2:$F$26,N10,$Q$2:$Q$26,"Aprobada")&gt;0,AND(Resumen!$B$15="La cursada aprobada",COUNTIFS($F$2:$F$26,N10,$Q$2:$Q$26,"Cursada aprobada")&gt;0)),OR(O10="",COUNTIF($F$2:$F$26,O10)=0,COUNTIFS($F$2:$F$26,O10,$Q$2:$Q$26,"Aprobada")&gt;0,AND(Resumen!$B$15="La cursada aprobada",COUNTIFS($F$2:$F$26,O10,$Q$2:$Q$26,"Cursada aprobada")&gt;0)),OR(P10="",COUNTIF($F$2:$F$26,P10)=0,COUNTIFS($F$2:$F$26,P10,$Q$2:$Q$26,"Aprobada")&gt;0,AND(Resumen!$B$15="La cursada aprobada",COUNTIFS($F$2:$F$26,P10,$Q$2:$Q$26,"Cursada aprobada")&gt;0))),"Sí","No")))</f>
        <v>No</v>
      </c>
      <c r="S10" s="8" t="str">
        <f aca="false">TRIM(IF(NOT(OR(L10="",COUNTIF($F$2:$F$26,L10)=0,COUNTIFS($F$2:$F$26,L10,$Q$2:$Q$26,"Aprobada")&gt;0,AND(Resumen!$B$15="La cursada aprobada",COUNTIFS($F$2:$F$26,L10,$Q$2:$Q$26,"Cursada aprobada")&gt;0))),L10&amp;" ","")&amp;IF(NOT(OR(M10="",COUNTIF($F$2:$F$26,M10)=0,COUNTIFS($F$2:$F$26,M10,$Q$2:$Q$26,"Aprobada")&gt;0,AND(Resumen!$B$15="La cursada aprobada",COUNTIFS($F$2:$F$26,M10,$Q$2:$Q$26,"Cursada aprobada")&gt;0))),M10&amp;" ","")&amp;IF(NOT(OR(N10="",COUNTIF($F$2:$F$26,N10)=0,COUNTIFS($F$2:$F$26,N10,$Q$2:$Q$26,"Aprobada")&gt;0,AND(Resumen!$B$15="La cursada aprobada",COUNTIFS($F$2:$F$26,N10,$Q$2:$Q$26,"Cursada aprobada")&gt;0))),N10&amp;" ","")&amp;IF(NOT(OR(O10="",COUNTIF($F$2:$F$26,O10)=0,COUNTIFS($F$2:$F$26,O10,$Q$2:$Q$26,"Aprobada")&gt;0,AND(Resumen!$B$15="La cursada aprobada",COUNTIFS($F$2:$F$26,O10,$Q$2:$Q$26,"Cursada aprobada")&gt;0))),O10&amp;" ","")&amp;IF(NOT(OR(P10="",COUNTIF($F$2:$F$26,P10)=0,COUNTIFS($F$2:$F$26,P10,$Q$2:$Q$26,"Aprobada")&gt;0,AND(Resumen!$B$15="La cursada aprobada",COUNTIFS($F$2:$F$26,P10,$Q$2:$Q$26,"Cursada aprobada")&gt;0))),P10&amp;" ",""))</f>
        <v>1091 1093 1104</v>
      </c>
      <c r="T10" s="9" t="str">
        <f aca="false">IF(Q10="Cursada aprobada",IF(AND(OR(L10="",COUNTIF($F$2:$F$26,L10)=0,COUNTIFS($F$2:$F$26,L10,$Q$2:$Q$26,"Aprobada")&gt;0),OR(M10="",COUNTIF($F$2:$F$26,M10)=0,COUNTIFS($F$2:$F$26,M10,$Q$2:$Q$26,"Aprobada")&gt;0),OR(N10="",COUNTIF($F$2:$F$26,N10)=0,COUNTIFS($F$2:$F$26,N10,$Q$2:$Q$26,"Aprobada")&gt;0),OR(O10="",COUNTIF($F$2:$F$26,O10)=0,COUNTIFS($F$2:$F$26,O10,$Q$2:$Q$26,"Aprobada")&gt;0),OR(P10="",COUNTIF($F$2:$F$26,P10)=0,COUNTIFS($F$2:$F$26,P10,$Q$2:$Q$26,"Aprobada")&gt;0)),"Sí","No"),"")</f>
        <v/>
      </c>
      <c r="U10" s="9" t="str">
        <f aca="false">IF(Q10="Aprobada",TRIM(IF(NOT(OR(L10="",COUNTIF($F$2:$F$26,L10)=0,COUNTIFS($F$2:$F$26,L10,$Q$2:$Q$26,"Aprobada")&gt;0)),L10&amp;" ","")&amp;IF(NOT(OR(M10="",COUNTIF($F$2:$F$26,M10)=0,COUNTIFS($F$2:$F$26,M10,$Q$2:$Q$26,"Aprobada")&gt;0)),M10&amp;" ","")&amp;IF(NOT(OR(N10="",COUNTIF($F$2:$F$26,N10)=0,COUNTIFS($F$2:$F$26,N10,$Q$2:$Q$26,"Aprobada")&gt;0)),N10&amp;" ","")&amp;IF(NOT(OR(O10="",COUNTIF($F$2:$F$26,O10)=0,COUNTIFS($F$2:$F$26,O10,$Q$2:$Q$26,"Aprobada")&gt;0)),O10&amp;" ","")&amp;IF(NOT(OR(P10="",COUNTIF($F$2:$F$26,P10)=0,COUNTIFS($F$2:$F$26,P10,$Q$2:$Q$26,"Aprobada")&gt;0)),P10&amp;" ","")),IF(Q10="Cursada aprobada",TRIM(IF(NOT(OR(L10="",COUNTIF($F$2:$F$26,L10)=0,COUNTIFS($F$2:$F$26,L10,$Q$2:$Q$26,"Aprobada")&gt;0,AND(Resumen!$B$15="La cursada aprobada",COUNTIFS($F$2:$F$26,L10,$Q$2:$Q$26,"Cursada aprobada")&gt;0))),L10&amp;" ","")&amp;IF(NOT(OR(M10="",COUNTIF($F$2:$F$26,M10)=0,COUNTIFS($F$2:$F$26,M10,$Q$2:$Q$26,"Aprobada")&gt;0,AND(Resumen!$B$15="La cursada aprobada",COUNTIFS($F$2:$F$26,M10,$Q$2:$Q$26,"Cursada aprobada")&gt;0))),M10&amp;" ","")&amp;IF(NOT(OR(N10="",COUNTIF($F$2:$F$26,N10)=0,COUNTIFS($F$2:$F$26,N10,$Q$2:$Q$26,"Aprobada")&gt;0,AND(Resumen!$B$15="La cursada aprobada",COUNTIFS($F$2:$F$26,N10,$Q$2:$Q$26,"Cursada aprobada")&gt;0))),N10&amp;" ","")&amp;IF(NOT(OR(O10="",COUNTIF($F$2:$F$26,O10)=0,COUNTIFS($F$2:$F$26,O10,$Q$2:$Q$26,"Aprobada")&gt;0,AND(Resumen!$B$15="La cursada aprobada",COUNTIFS($F$2:$F$26,O10,$Q$2:$Q$26,"Cursada aprobada")&gt;0))),O10&amp;" ","")&amp;IF(NOT(OR(P10="",COUNTIF($F$2:$F$26,P10)=0,COUNTIFS($F$2:$F$26,P10,$Q$2:$Q$26,"Aprobada")&gt;0,AND(Resumen!$B$15="La cursada aprobada",COUNTIFS($F$2:$F$26,P10,$Q$2:$Q$26,"Cursada aprobada")&gt;0))),P10&amp;" ","")),""))</f>
        <v/>
      </c>
    </row>
    <row r="11" customFormat="false" ht="15" hidden="false" customHeight="false" outlineLevel="0" collapsed="false">
      <c r="A11" s="8" t="s">
        <v>240</v>
      </c>
      <c r="B11" s="8"/>
      <c r="C11" s="9" t="n">
        <v>2</v>
      </c>
      <c r="D11" s="9" t="s">
        <v>241</v>
      </c>
      <c r="E11" s="9" t="s">
        <v>69</v>
      </c>
      <c r="F11" s="9" t="n">
        <v>1094</v>
      </c>
      <c r="G11" s="8" t="s">
        <v>287</v>
      </c>
      <c r="H11" s="9" t="s">
        <v>61</v>
      </c>
      <c r="I11" s="9" t="n">
        <v>4</v>
      </c>
      <c r="J11" s="9"/>
      <c r="K11" s="9" t="n">
        <v>64</v>
      </c>
      <c r="L11" s="9" t="n">
        <v>1092</v>
      </c>
      <c r="M11" s="9" t="n">
        <v>1093</v>
      </c>
      <c r="N11" s="9"/>
      <c r="O11" s="9"/>
      <c r="P11" s="9"/>
      <c r="Q11" s="10" t="s">
        <v>62</v>
      </c>
      <c r="R11" s="9" t="str">
        <f aca="false">IF(Q11="Aprobada","Ya aprobada",IF(Q11="Cursada aprobada","Ya cursada",IF(AND(OR(L11="",COUNTIF($F$2:$F$26,L11)=0,COUNTIFS($F$2:$F$26,L11,$Q$2:$Q$26,"Aprobada")&gt;0,AND(Resumen!$B$15="La cursada aprobada",COUNTIFS($F$2:$F$26,L11,$Q$2:$Q$26,"Cursada aprobada")&gt;0)),OR(M11="",COUNTIF($F$2:$F$26,M11)=0,COUNTIFS($F$2:$F$26,M11,$Q$2:$Q$26,"Aprobada")&gt;0,AND(Resumen!$B$15="La cursada aprobada",COUNTIFS($F$2:$F$26,M11,$Q$2:$Q$26,"Cursada aprobada")&gt;0)),OR(N11="",COUNTIF($F$2:$F$26,N11)=0,COUNTIFS($F$2:$F$26,N11,$Q$2:$Q$26,"Aprobada")&gt;0,AND(Resumen!$B$15="La cursada aprobada",COUNTIFS($F$2:$F$26,N11,$Q$2:$Q$26,"Cursada aprobada")&gt;0)),OR(O11="",COUNTIF($F$2:$F$26,O11)=0,COUNTIFS($F$2:$F$26,O11,$Q$2:$Q$26,"Aprobada")&gt;0,AND(Resumen!$B$15="La cursada aprobada",COUNTIFS($F$2:$F$26,O11,$Q$2:$Q$26,"Cursada aprobada")&gt;0)),OR(P11="",COUNTIF($F$2:$F$26,P11)=0,COUNTIFS($F$2:$F$26,P11,$Q$2:$Q$26,"Aprobada")&gt;0,AND(Resumen!$B$15="La cursada aprobada",COUNTIFS($F$2:$F$26,P11,$Q$2:$Q$26,"Cursada aprobada")&gt;0))),"Sí","No")))</f>
        <v>No</v>
      </c>
      <c r="S11" s="8" t="str">
        <f aca="false">TRIM(IF(NOT(OR(L11="",COUNTIF($F$2:$F$26,L11)=0,COUNTIFS($F$2:$F$26,L11,$Q$2:$Q$26,"Aprobada")&gt;0,AND(Resumen!$B$15="La cursada aprobada",COUNTIFS($F$2:$F$26,L11,$Q$2:$Q$26,"Cursada aprobada")&gt;0))),L11&amp;" ","")&amp;IF(NOT(OR(M11="",COUNTIF($F$2:$F$26,M11)=0,COUNTIFS($F$2:$F$26,M11,$Q$2:$Q$26,"Aprobada")&gt;0,AND(Resumen!$B$15="La cursada aprobada",COUNTIFS($F$2:$F$26,M11,$Q$2:$Q$26,"Cursada aprobada")&gt;0))),M11&amp;" ","")&amp;IF(NOT(OR(N11="",COUNTIF($F$2:$F$26,N11)=0,COUNTIFS($F$2:$F$26,N11,$Q$2:$Q$26,"Aprobada")&gt;0,AND(Resumen!$B$15="La cursada aprobada",COUNTIFS($F$2:$F$26,N11,$Q$2:$Q$26,"Cursada aprobada")&gt;0))),N11&amp;" ","")&amp;IF(NOT(OR(O11="",COUNTIF($F$2:$F$26,O11)=0,COUNTIFS($F$2:$F$26,O11,$Q$2:$Q$26,"Aprobada")&gt;0,AND(Resumen!$B$15="La cursada aprobada",COUNTIFS($F$2:$F$26,O11,$Q$2:$Q$26,"Cursada aprobada")&gt;0))),O11&amp;" ","")&amp;IF(NOT(OR(P11="",COUNTIF($F$2:$F$26,P11)=0,COUNTIFS($F$2:$F$26,P11,$Q$2:$Q$26,"Aprobada")&gt;0,AND(Resumen!$B$15="La cursada aprobada",COUNTIFS($F$2:$F$26,P11,$Q$2:$Q$26,"Cursada aprobada")&gt;0))),P11&amp;" ",""))</f>
        <v>1092 1093</v>
      </c>
      <c r="T11" s="9" t="str">
        <f aca="false">IF(Q11="Cursada aprobada",IF(AND(OR(L11="",COUNTIF($F$2:$F$26,L11)=0,COUNTIFS($F$2:$F$26,L11,$Q$2:$Q$26,"Aprobada")&gt;0),OR(M11="",COUNTIF($F$2:$F$26,M11)=0,COUNTIFS($F$2:$F$26,M11,$Q$2:$Q$26,"Aprobada")&gt;0),OR(N11="",COUNTIF($F$2:$F$26,N11)=0,COUNTIFS($F$2:$F$26,N11,$Q$2:$Q$26,"Aprobada")&gt;0),OR(O11="",COUNTIF($F$2:$F$26,O11)=0,COUNTIFS($F$2:$F$26,O11,$Q$2:$Q$26,"Aprobada")&gt;0),OR(P11="",COUNTIF($F$2:$F$26,P11)=0,COUNTIFS($F$2:$F$26,P11,$Q$2:$Q$26,"Aprobada")&gt;0)),"Sí","No"),"")</f>
        <v/>
      </c>
      <c r="U11" s="9" t="str">
        <f aca="false">IF(Q11="Aprobada",TRIM(IF(NOT(OR(L11="",COUNTIF($F$2:$F$26,L11)=0,COUNTIFS($F$2:$F$26,L11,$Q$2:$Q$26,"Aprobada")&gt;0)),L11&amp;" ","")&amp;IF(NOT(OR(M11="",COUNTIF($F$2:$F$26,M11)=0,COUNTIFS($F$2:$F$26,M11,$Q$2:$Q$26,"Aprobada")&gt;0)),M11&amp;" ","")&amp;IF(NOT(OR(N11="",COUNTIF($F$2:$F$26,N11)=0,COUNTIFS($F$2:$F$26,N11,$Q$2:$Q$26,"Aprobada")&gt;0)),N11&amp;" ","")&amp;IF(NOT(OR(O11="",COUNTIF($F$2:$F$26,O11)=0,COUNTIFS($F$2:$F$26,O11,$Q$2:$Q$26,"Aprobada")&gt;0)),O11&amp;" ","")&amp;IF(NOT(OR(P11="",COUNTIF($F$2:$F$26,P11)=0,COUNTIFS($F$2:$F$26,P11,$Q$2:$Q$26,"Aprobada")&gt;0)),P11&amp;" ","")),IF(Q11="Cursada aprobada",TRIM(IF(NOT(OR(L11="",COUNTIF($F$2:$F$26,L11)=0,COUNTIFS($F$2:$F$26,L11,$Q$2:$Q$26,"Aprobada")&gt;0,AND(Resumen!$B$15="La cursada aprobada",COUNTIFS($F$2:$F$26,L11,$Q$2:$Q$26,"Cursada aprobada")&gt;0))),L11&amp;" ","")&amp;IF(NOT(OR(M11="",COUNTIF($F$2:$F$26,M11)=0,COUNTIFS($F$2:$F$26,M11,$Q$2:$Q$26,"Aprobada")&gt;0,AND(Resumen!$B$15="La cursada aprobada",COUNTIFS($F$2:$F$26,M11,$Q$2:$Q$26,"Cursada aprobada")&gt;0))),M11&amp;" ","")&amp;IF(NOT(OR(N11="",COUNTIF($F$2:$F$26,N11)=0,COUNTIFS($F$2:$F$26,N11,$Q$2:$Q$26,"Aprobada")&gt;0,AND(Resumen!$B$15="La cursada aprobada",COUNTIFS($F$2:$F$26,N11,$Q$2:$Q$26,"Cursada aprobada")&gt;0))),N11&amp;" ","")&amp;IF(NOT(OR(O11="",COUNTIF($F$2:$F$26,O11)=0,COUNTIFS($F$2:$F$26,O11,$Q$2:$Q$26,"Aprobada")&gt;0,AND(Resumen!$B$15="La cursada aprobada",COUNTIFS($F$2:$F$26,O11,$Q$2:$Q$26,"Cursada aprobada")&gt;0))),O11&amp;" ","")&amp;IF(NOT(OR(P11="",COUNTIF($F$2:$F$26,P11)=0,COUNTIFS($F$2:$F$26,P11,$Q$2:$Q$26,"Aprobada")&gt;0,AND(Resumen!$B$15="La cursada aprobada",COUNTIFS($F$2:$F$26,P11,$Q$2:$Q$26,"Cursada aprobada")&gt;0))),P11&amp;" ","")),""))</f>
        <v/>
      </c>
    </row>
    <row r="12" customFormat="false" ht="15" hidden="false" customHeight="false" outlineLevel="0" collapsed="false">
      <c r="A12" s="8" t="s">
        <v>240</v>
      </c>
      <c r="B12" s="8"/>
      <c r="C12" s="9" t="n">
        <v>2</v>
      </c>
      <c r="D12" s="9" t="s">
        <v>241</v>
      </c>
      <c r="E12" s="9" t="s">
        <v>69</v>
      </c>
      <c r="F12" s="9" t="n">
        <v>1103</v>
      </c>
      <c r="G12" s="8" t="s">
        <v>288</v>
      </c>
      <c r="H12" s="9" t="s">
        <v>61</v>
      </c>
      <c r="I12" s="9" t="n">
        <v>6</v>
      </c>
      <c r="J12" s="9"/>
      <c r="K12" s="9" t="n">
        <v>96</v>
      </c>
      <c r="L12" s="9" t="n">
        <v>1093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cursada",IF(AND(OR(L12="",COUNTIF($F$2:$F$26,L12)=0,COUNTIFS($F$2:$F$26,L12,$Q$2:$Q$26,"Aprobada")&gt;0,AND(Resumen!$B$15="La cursada aprobada",COUNTIFS($F$2:$F$26,L12,$Q$2:$Q$26,"Cursada aprobada")&gt;0)),OR(M12="",COUNTIF($F$2:$F$26,M12)=0,COUNTIFS($F$2:$F$26,M12,$Q$2:$Q$26,"Aprobada")&gt;0,AND(Resumen!$B$15="La cursada aprobada",COUNTIFS($F$2:$F$26,M12,$Q$2:$Q$26,"Cursada aprobada")&gt;0)),OR(N12="",COUNTIF($F$2:$F$26,N12)=0,COUNTIFS($F$2:$F$26,N12,$Q$2:$Q$26,"Aprobada")&gt;0,AND(Resumen!$B$15="La cursada aprobada",COUNTIFS($F$2:$F$26,N12,$Q$2:$Q$26,"Cursada aprobada")&gt;0)),OR(O12="",COUNTIF($F$2:$F$26,O12)=0,COUNTIFS($F$2:$F$26,O12,$Q$2:$Q$26,"Aprobada")&gt;0,AND(Resumen!$B$15="La cursada aprobada",COUNTIFS($F$2:$F$26,O12,$Q$2:$Q$26,"Cursada aprobada")&gt;0)),OR(P12="",COUNTIF($F$2:$F$26,P12)=0,COUNTIFS($F$2:$F$26,P12,$Q$2:$Q$26,"Aprobada")&gt;0,AND(Resumen!$B$15="La cursada aprobada",COUNTIFS($F$2:$F$26,P12,$Q$2:$Q$26,"Cursada aprobada")&gt;0))),"Sí","No")))</f>
        <v>No</v>
      </c>
      <c r="S12" s="8" t="str">
        <f aca="false">TRIM(IF(NOT(OR(L12="",COUNTIF($F$2:$F$26,L12)=0,COUNTIFS($F$2:$F$26,L12,$Q$2:$Q$26,"Aprobada")&gt;0,AND(Resumen!$B$15="La cursada aprobada",COUNTIFS($F$2:$F$26,L12,$Q$2:$Q$26,"Cursada aprobada")&gt;0))),L12&amp;" ","")&amp;IF(NOT(OR(M12="",COUNTIF($F$2:$F$26,M12)=0,COUNTIFS($F$2:$F$26,M12,$Q$2:$Q$26,"Aprobada")&gt;0,AND(Resumen!$B$15="La cursada aprobada",COUNTIFS($F$2:$F$26,M12,$Q$2:$Q$26,"Cursada aprobada")&gt;0))),M12&amp;" ","")&amp;IF(NOT(OR(N12="",COUNTIF($F$2:$F$26,N12)=0,COUNTIFS($F$2:$F$26,N12,$Q$2:$Q$26,"Aprobada")&gt;0,AND(Resumen!$B$15="La cursada aprobada",COUNTIFS($F$2:$F$26,N12,$Q$2:$Q$26,"Cursada aprobada")&gt;0))),N12&amp;" ","")&amp;IF(NOT(OR(O12="",COUNTIF($F$2:$F$26,O12)=0,COUNTIFS($F$2:$F$26,O12,$Q$2:$Q$26,"Aprobada")&gt;0,AND(Resumen!$B$15="La cursada aprobada",COUNTIFS($F$2:$F$26,O12,$Q$2:$Q$26,"Cursada aprobada")&gt;0))),O12&amp;" ","")&amp;IF(NOT(OR(P12="",COUNTIF($F$2:$F$26,P12)=0,COUNTIFS($F$2:$F$26,P12,$Q$2:$Q$26,"Aprobada")&gt;0,AND(Resumen!$B$15="La cursada aprobada",COUNTIFS($F$2:$F$26,P12,$Q$2:$Q$26,"Cursada aprobada")&gt;0))),P12&amp;" ",""))</f>
        <v>1093</v>
      </c>
      <c r="T12" s="9" t="str">
        <f aca="false">IF(Q12="Cursada aprobada",IF(AND(OR(L12="",COUNTIF($F$2:$F$26,L12)=0,COUNTIFS($F$2:$F$26,L12,$Q$2:$Q$26,"Aprobada")&gt;0),OR(M12="",COUNTIF($F$2:$F$26,M12)=0,COUNTIFS($F$2:$F$26,M12,$Q$2:$Q$26,"Aprobada")&gt;0),OR(N12="",COUNTIF($F$2:$F$26,N12)=0,COUNTIFS($F$2:$F$26,N12,$Q$2:$Q$26,"Aprobada")&gt;0),OR(O12="",COUNTIF($F$2:$F$26,O12)=0,COUNTIFS($F$2:$F$26,O12,$Q$2:$Q$26,"Aprobada")&gt;0),OR(P12="",COUNTIF($F$2:$F$26,P12)=0,COUNTIFS($F$2:$F$26,P12,$Q$2:$Q$26,"Aprobada")&gt;0)),"Sí","No"),"")</f>
        <v/>
      </c>
      <c r="U12" s="9" t="str">
        <f aca="false">IF(Q12="Aprobada",TRIM(IF(NOT(OR(L12="",COUNTIF($F$2:$F$26,L12)=0,COUNTIFS($F$2:$F$26,L12,$Q$2:$Q$26,"Aprobada")&gt;0)),L12&amp;" ","")&amp;IF(NOT(OR(M12="",COUNTIF($F$2:$F$26,M12)=0,COUNTIFS($F$2:$F$26,M12,$Q$2:$Q$26,"Aprobada")&gt;0)),M12&amp;" ","")&amp;IF(NOT(OR(N12="",COUNTIF($F$2:$F$26,N12)=0,COUNTIFS($F$2:$F$26,N12,$Q$2:$Q$26,"Aprobada")&gt;0)),N12&amp;" ","")&amp;IF(NOT(OR(O12="",COUNTIF($F$2:$F$26,O12)=0,COUNTIFS($F$2:$F$26,O12,$Q$2:$Q$26,"Aprobada")&gt;0)),O12&amp;" ","")&amp;IF(NOT(OR(P12="",COUNTIF($F$2:$F$26,P12)=0,COUNTIFS($F$2:$F$26,P12,$Q$2:$Q$26,"Aprobada")&gt;0)),P12&amp;" ","")),IF(Q12="Cursada aprobada",TRIM(IF(NOT(OR(L12="",COUNTIF($F$2:$F$26,L12)=0,COUNTIFS($F$2:$F$26,L12,$Q$2:$Q$26,"Aprobada")&gt;0,AND(Resumen!$B$15="La cursada aprobada",COUNTIFS($F$2:$F$26,L12,$Q$2:$Q$26,"Cursada aprobada")&gt;0))),L12&amp;" ","")&amp;IF(NOT(OR(M12="",COUNTIF($F$2:$F$26,M12)=0,COUNTIFS($F$2:$F$26,M12,$Q$2:$Q$26,"Aprobada")&gt;0,AND(Resumen!$B$15="La cursada aprobada",COUNTIFS($F$2:$F$26,M12,$Q$2:$Q$26,"Cursada aprobada")&gt;0))),M12&amp;" ","")&amp;IF(NOT(OR(N12="",COUNTIF($F$2:$F$26,N12)=0,COUNTIFS($F$2:$F$26,N12,$Q$2:$Q$26,"Aprobada")&gt;0,AND(Resumen!$B$15="La cursada aprobada",COUNTIFS($F$2:$F$26,N12,$Q$2:$Q$26,"Cursada aprobada")&gt;0))),N12&amp;" ","")&amp;IF(NOT(OR(O12="",COUNTIF($F$2:$F$26,O12)=0,COUNTIFS($F$2:$F$26,O12,$Q$2:$Q$26,"Aprobada")&gt;0,AND(Resumen!$B$15="La cursada aprobada",COUNTIFS($F$2:$F$26,O12,$Q$2:$Q$26,"Cursada aprobada")&gt;0))),O12&amp;" ","")&amp;IF(NOT(OR(P12="",COUNTIF($F$2:$F$26,P12)=0,COUNTIFS($F$2:$F$26,P12,$Q$2:$Q$26,"Aprobada")&gt;0,AND(Resumen!$B$15="La cursada aprobada",COUNTIFS($F$2:$F$26,P12,$Q$2:$Q$26,"Cursada aprobada")&gt;0))),P12&amp;" ","")),""))</f>
        <v/>
      </c>
    </row>
    <row r="13" customFormat="false" ht="15" hidden="false" customHeight="false" outlineLevel="0" collapsed="false">
      <c r="A13" s="8" t="s">
        <v>240</v>
      </c>
      <c r="B13" s="8"/>
      <c r="C13" s="9" t="n">
        <v>2</v>
      </c>
      <c r="D13" s="9" t="s">
        <v>241</v>
      </c>
      <c r="E13" s="9" t="s">
        <v>69</v>
      </c>
      <c r="F13" s="9" t="n">
        <v>215</v>
      </c>
      <c r="G13" s="8" t="s">
        <v>289</v>
      </c>
      <c r="H13" s="9" t="s">
        <v>71</v>
      </c>
      <c r="I13" s="9" t="n">
        <v>3</v>
      </c>
      <c r="J13" s="9"/>
      <c r="K13" s="9" t="n">
        <v>48</v>
      </c>
      <c r="L13" s="9" t="n">
        <v>1093</v>
      </c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cursada",IF(AND(OR(L13="",COUNTIF($F$2:$F$26,L13)=0,COUNTIFS($F$2:$F$26,L13,$Q$2:$Q$26,"Aprobada")&gt;0,AND(Resumen!$B$15="La cursada aprobada",COUNTIFS($F$2:$F$26,L13,$Q$2:$Q$26,"Cursada aprobada")&gt;0)),OR(M13="",COUNTIF($F$2:$F$26,M13)=0,COUNTIFS($F$2:$F$26,M13,$Q$2:$Q$26,"Aprobada")&gt;0,AND(Resumen!$B$15="La cursada aprobada",COUNTIFS($F$2:$F$26,M13,$Q$2:$Q$26,"Cursada aprobada")&gt;0)),OR(N13="",COUNTIF($F$2:$F$26,N13)=0,COUNTIFS($F$2:$F$26,N13,$Q$2:$Q$26,"Aprobada")&gt;0,AND(Resumen!$B$15="La cursada aprobada",COUNTIFS($F$2:$F$26,N13,$Q$2:$Q$26,"Cursada aprobada")&gt;0)),OR(O13="",COUNTIF($F$2:$F$26,O13)=0,COUNTIFS($F$2:$F$26,O13,$Q$2:$Q$26,"Aprobada")&gt;0,AND(Resumen!$B$15="La cursada aprobada",COUNTIFS($F$2:$F$26,O13,$Q$2:$Q$26,"Cursada aprobada")&gt;0)),OR(P13="",COUNTIF($F$2:$F$26,P13)=0,COUNTIFS($F$2:$F$26,P13,$Q$2:$Q$26,"Aprobada")&gt;0,AND(Resumen!$B$15="La cursada aprobada",COUNTIFS($F$2:$F$26,P13,$Q$2:$Q$26,"Cursada aprobada")&gt;0))),"Sí","No")))</f>
        <v>No</v>
      </c>
      <c r="S13" s="8" t="str">
        <f aca="false">TRIM(IF(NOT(OR(L13="",COUNTIF($F$2:$F$26,L13)=0,COUNTIFS($F$2:$F$26,L13,$Q$2:$Q$26,"Aprobada")&gt;0,AND(Resumen!$B$15="La cursada aprobada",COUNTIFS($F$2:$F$26,L13,$Q$2:$Q$26,"Cursada aprobada")&gt;0))),L13&amp;" ","")&amp;IF(NOT(OR(M13="",COUNTIF($F$2:$F$26,M13)=0,COUNTIFS($F$2:$F$26,M13,$Q$2:$Q$26,"Aprobada")&gt;0,AND(Resumen!$B$15="La cursada aprobada",COUNTIFS($F$2:$F$26,M13,$Q$2:$Q$26,"Cursada aprobada")&gt;0))),M13&amp;" ","")&amp;IF(NOT(OR(N13="",COUNTIF($F$2:$F$26,N13)=0,COUNTIFS($F$2:$F$26,N13,$Q$2:$Q$26,"Aprobada")&gt;0,AND(Resumen!$B$15="La cursada aprobada",COUNTIFS($F$2:$F$26,N13,$Q$2:$Q$26,"Cursada aprobada")&gt;0))),N13&amp;" ","")&amp;IF(NOT(OR(O13="",COUNTIF($F$2:$F$26,O13)=0,COUNTIFS($F$2:$F$26,O13,$Q$2:$Q$26,"Aprobada")&gt;0,AND(Resumen!$B$15="La cursada aprobada",COUNTIFS($F$2:$F$26,O13,$Q$2:$Q$26,"Cursada aprobada")&gt;0))),O13&amp;" ","")&amp;IF(NOT(OR(P13="",COUNTIF($F$2:$F$26,P13)=0,COUNTIFS($F$2:$F$26,P13,$Q$2:$Q$26,"Aprobada")&gt;0,AND(Resumen!$B$15="La cursada aprobada",COUNTIFS($F$2:$F$26,P13,$Q$2:$Q$26,"Cursada aprobada")&gt;0))),P13&amp;" ",""))</f>
        <v>1093</v>
      </c>
      <c r="T13" s="9" t="str">
        <f aca="false">IF(Q13="Cursada aprobada",IF(AND(OR(L13="",COUNTIF($F$2:$F$26,L13)=0,COUNTIFS($F$2:$F$26,L13,$Q$2:$Q$26,"Aprobada")&gt;0),OR(M13="",COUNTIF($F$2:$F$26,M13)=0,COUNTIFS($F$2:$F$26,M13,$Q$2:$Q$26,"Aprobada")&gt;0),OR(N13="",COUNTIF($F$2:$F$26,N13)=0,COUNTIFS($F$2:$F$26,N13,$Q$2:$Q$26,"Aprobada")&gt;0),OR(O13="",COUNTIF($F$2:$F$26,O13)=0,COUNTIFS($F$2:$F$26,O13,$Q$2:$Q$26,"Aprobada")&gt;0),OR(P13="",COUNTIF($F$2:$F$26,P13)=0,COUNTIFS($F$2:$F$26,P13,$Q$2:$Q$26,"Aprobada")&gt;0)),"Sí","No"),"")</f>
        <v/>
      </c>
      <c r="U13" s="9" t="str">
        <f aca="false">IF(Q13="Aprobada",TRIM(IF(NOT(OR(L13="",COUNTIF($F$2:$F$26,L13)=0,COUNTIFS($F$2:$F$26,L13,$Q$2:$Q$26,"Aprobada")&gt;0)),L13&amp;" ","")&amp;IF(NOT(OR(M13="",COUNTIF($F$2:$F$26,M13)=0,COUNTIFS($F$2:$F$26,M13,$Q$2:$Q$26,"Aprobada")&gt;0)),M13&amp;" ","")&amp;IF(NOT(OR(N13="",COUNTIF($F$2:$F$26,N13)=0,COUNTIFS($F$2:$F$26,N13,$Q$2:$Q$26,"Aprobada")&gt;0)),N13&amp;" ","")&amp;IF(NOT(OR(O13="",COUNTIF($F$2:$F$26,O13)=0,COUNTIFS($F$2:$F$26,O13,$Q$2:$Q$26,"Aprobada")&gt;0)),O13&amp;" ","")&amp;IF(NOT(OR(P13="",COUNTIF($F$2:$F$26,P13)=0,COUNTIFS($F$2:$F$26,P13,$Q$2:$Q$26,"Aprobada")&gt;0)),P13&amp;" ","")),IF(Q13="Cursada aprobada",TRIM(IF(NOT(OR(L13="",COUNTIF($F$2:$F$26,L13)=0,COUNTIFS($F$2:$F$26,L13,$Q$2:$Q$26,"Aprobada")&gt;0,AND(Resumen!$B$15="La cursada aprobada",COUNTIFS($F$2:$F$26,L13,$Q$2:$Q$26,"Cursada aprobada")&gt;0))),L13&amp;" ","")&amp;IF(NOT(OR(M13="",COUNTIF($F$2:$F$26,M13)=0,COUNTIFS($F$2:$F$26,M13,$Q$2:$Q$26,"Aprobada")&gt;0,AND(Resumen!$B$15="La cursada aprobada",COUNTIFS($F$2:$F$26,M13,$Q$2:$Q$26,"Cursada aprobada")&gt;0))),M13&amp;" ","")&amp;IF(NOT(OR(N13="",COUNTIF($F$2:$F$26,N13)=0,COUNTIFS($F$2:$F$26,N13,$Q$2:$Q$26,"Aprobada")&gt;0,AND(Resumen!$B$15="La cursada aprobada",COUNTIFS($F$2:$F$26,N13,$Q$2:$Q$26,"Cursada aprobada")&gt;0))),N13&amp;" ","")&amp;IF(NOT(OR(O13="",COUNTIF($F$2:$F$26,O13)=0,COUNTIFS($F$2:$F$26,O13,$Q$2:$Q$26,"Aprobada")&gt;0,AND(Resumen!$B$15="La cursada aprobada",COUNTIFS($F$2:$F$26,O13,$Q$2:$Q$26,"Cursada aprobada")&gt;0))),O13&amp;" ","")&amp;IF(NOT(OR(P13="",COUNTIF($F$2:$F$26,P13)=0,COUNTIFS($F$2:$F$26,P13,$Q$2:$Q$26,"Aprobada")&gt;0,AND(Resumen!$B$15="La cursada aprobada",COUNTIFS($F$2:$F$26,P13,$Q$2:$Q$26,"Cursada aprobada")&gt;0))),P13&amp;" ","")),""))</f>
        <v/>
      </c>
    </row>
    <row r="14" customFormat="false" ht="15" hidden="false" customHeight="false" outlineLevel="0" collapsed="false">
      <c r="A14" s="8" t="s">
        <v>240</v>
      </c>
      <c r="B14" s="8"/>
      <c r="C14" s="9" t="n">
        <v>2</v>
      </c>
      <c r="D14" s="9" t="s">
        <v>243</v>
      </c>
      <c r="E14" s="9" t="s">
        <v>69</v>
      </c>
      <c r="F14" s="9" t="n">
        <v>1099</v>
      </c>
      <c r="G14" s="8" t="s">
        <v>290</v>
      </c>
      <c r="H14" s="9" t="s">
        <v>61</v>
      </c>
      <c r="I14" s="9" t="n">
        <v>4</v>
      </c>
      <c r="J14" s="9"/>
      <c r="K14" s="9" t="n">
        <v>64</v>
      </c>
      <c r="L14" s="9" t="n">
        <v>1094</v>
      </c>
      <c r="M14" s="9"/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cursada",IF(AND(OR(L14="",COUNTIF($F$2:$F$26,L14)=0,COUNTIFS($F$2:$F$26,L14,$Q$2:$Q$26,"Aprobada")&gt;0,AND(Resumen!$B$15="La cursada aprobada",COUNTIFS($F$2:$F$26,L14,$Q$2:$Q$26,"Cursada aprobada")&gt;0)),OR(M14="",COUNTIF($F$2:$F$26,M14)=0,COUNTIFS($F$2:$F$26,M14,$Q$2:$Q$26,"Aprobada")&gt;0,AND(Resumen!$B$15="La cursada aprobada",COUNTIFS($F$2:$F$26,M14,$Q$2:$Q$26,"Cursada aprobada")&gt;0)),OR(N14="",COUNTIF($F$2:$F$26,N14)=0,COUNTIFS($F$2:$F$26,N14,$Q$2:$Q$26,"Aprobada")&gt;0,AND(Resumen!$B$15="La cursada aprobada",COUNTIFS($F$2:$F$26,N14,$Q$2:$Q$26,"Cursada aprobada")&gt;0)),OR(O14="",COUNTIF($F$2:$F$26,O14)=0,COUNTIFS($F$2:$F$26,O14,$Q$2:$Q$26,"Aprobada")&gt;0,AND(Resumen!$B$15="La cursada aprobada",COUNTIFS($F$2:$F$26,O14,$Q$2:$Q$26,"Cursada aprobada")&gt;0)),OR(P14="",COUNTIF($F$2:$F$26,P14)=0,COUNTIFS($F$2:$F$26,P14,$Q$2:$Q$26,"Aprobada")&gt;0,AND(Resumen!$B$15="La cursada aprobada",COUNTIFS($F$2:$F$26,P14,$Q$2:$Q$26,"Cursada aprobada")&gt;0))),"Sí","No")))</f>
        <v>No</v>
      </c>
      <c r="S14" s="8" t="str">
        <f aca="false">TRIM(IF(NOT(OR(L14="",COUNTIF($F$2:$F$26,L14)=0,COUNTIFS($F$2:$F$26,L14,$Q$2:$Q$26,"Aprobada")&gt;0,AND(Resumen!$B$15="La cursada aprobada",COUNTIFS($F$2:$F$26,L14,$Q$2:$Q$26,"Cursada aprobada")&gt;0))),L14&amp;" ","")&amp;IF(NOT(OR(M14="",COUNTIF($F$2:$F$26,M14)=0,COUNTIFS($F$2:$F$26,M14,$Q$2:$Q$26,"Aprobada")&gt;0,AND(Resumen!$B$15="La cursada aprobada",COUNTIFS($F$2:$F$26,M14,$Q$2:$Q$26,"Cursada aprobada")&gt;0))),M14&amp;" ","")&amp;IF(NOT(OR(N14="",COUNTIF($F$2:$F$26,N14)=0,COUNTIFS($F$2:$F$26,N14,$Q$2:$Q$26,"Aprobada")&gt;0,AND(Resumen!$B$15="La cursada aprobada",COUNTIFS($F$2:$F$26,N14,$Q$2:$Q$26,"Cursada aprobada")&gt;0))),N14&amp;" ","")&amp;IF(NOT(OR(O14="",COUNTIF($F$2:$F$26,O14)=0,COUNTIFS($F$2:$F$26,O14,$Q$2:$Q$26,"Aprobada")&gt;0,AND(Resumen!$B$15="La cursada aprobada",COUNTIFS($F$2:$F$26,O14,$Q$2:$Q$26,"Cursada aprobada")&gt;0))),O14&amp;" ","")&amp;IF(NOT(OR(P14="",COUNTIF($F$2:$F$26,P14)=0,COUNTIFS($F$2:$F$26,P14,$Q$2:$Q$26,"Aprobada")&gt;0,AND(Resumen!$B$15="La cursada aprobada",COUNTIFS($F$2:$F$26,P14,$Q$2:$Q$26,"Cursada aprobada")&gt;0))),P14&amp;" ",""))</f>
        <v>1094</v>
      </c>
      <c r="T14" s="9" t="str">
        <f aca="false">IF(Q14="Cursada aprobada",IF(AND(OR(L14="",COUNTIF($F$2:$F$26,L14)=0,COUNTIFS($F$2:$F$26,L14,$Q$2:$Q$26,"Aprobada")&gt;0),OR(M14="",COUNTIF($F$2:$F$26,M14)=0,COUNTIFS($F$2:$F$26,M14,$Q$2:$Q$26,"Aprobada")&gt;0),OR(N14="",COUNTIF($F$2:$F$26,N14)=0,COUNTIFS($F$2:$F$26,N14,$Q$2:$Q$26,"Aprobada")&gt;0),OR(O14="",COUNTIF($F$2:$F$26,O14)=0,COUNTIFS($F$2:$F$26,O14,$Q$2:$Q$26,"Aprobada")&gt;0),OR(P14="",COUNTIF($F$2:$F$26,P14)=0,COUNTIFS($F$2:$F$26,P14,$Q$2:$Q$26,"Aprobada")&gt;0)),"Sí","No"),"")</f>
        <v/>
      </c>
      <c r="U14" s="9" t="str">
        <f aca="false">IF(Q14="Aprobada",TRIM(IF(NOT(OR(L14="",COUNTIF($F$2:$F$26,L14)=0,COUNTIFS($F$2:$F$26,L14,$Q$2:$Q$26,"Aprobada")&gt;0)),L14&amp;" ","")&amp;IF(NOT(OR(M14="",COUNTIF($F$2:$F$26,M14)=0,COUNTIFS($F$2:$F$26,M14,$Q$2:$Q$26,"Aprobada")&gt;0)),M14&amp;" ","")&amp;IF(NOT(OR(N14="",COUNTIF($F$2:$F$26,N14)=0,COUNTIFS($F$2:$F$26,N14,$Q$2:$Q$26,"Aprobada")&gt;0)),N14&amp;" ","")&amp;IF(NOT(OR(O14="",COUNTIF($F$2:$F$26,O14)=0,COUNTIFS($F$2:$F$26,O14,$Q$2:$Q$26,"Aprobada")&gt;0)),O14&amp;" ","")&amp;IF(NOT(OR(P14="",COUNTIF($F$2:$F$26,P14)=0,COUNTIFS($F$2:$F$26,P14,$Q$2:$Q$26,"Aprobada")&gt;0)),P14&amp;" ","")),IF(Q14="Cursada aprobada",TRIM(IF(NOT(OR(L14="",COUNTIF($F$2:$F$26,L14)=0,COUNTIFS($F$2:$F$26,L14,$Q$2:$Q$26,"Aprobada")&gt;0,AND(Resumen!$B$15="La cursada aprobada",COUNTIFS($F$2:$F$26,L14,$Q$2:$Q$26,"Cursada aprobada")&gt;0))),L14&amp;" ","")&amp;IF(NOT(OR(M14="",COUNTIF($F$2:$F$26,M14)=0,COUNTIFS($F$2:$F$26,M14,$Q$2:$Q$26,"Aprobada")&gt;0,AND(Resumen!$B$15="La cursada aprobada",COUNTIFS($F$2:$F$26,M14,$Q$2:$Q$26,"Cursada aprobada")&gt;0))),M14&amp;" ","")&amp;IF(NOT(OR(N14="",COUNTIF($F$2:$F$26,N14)=0,COUNTIFS($F$2:$F$26,N14,$Q$2:$Q$26,"Aprobada")&gt;0,AND(Resumen!$B$15="La cursada aprobada",COUNTIFS($F$2:$F$26,N14,$Q$2:$Q$26,"Cursada aprobada")&gt;0))),N14&amp;" ","")&amp;IF(NOT(OR(O14="",COUNTIF($F$2:$F$26,O14)=0,COUNTIFS($F$2:$F$26,O14,$Q$2:$Q$26,"Aprobada")&gt;0,AND(Resumen!$B$15="La cursada aprobada",COUNTIFS($F$2:$F$26,O14,$Q$2:$Q$26,"Cursada aprobada")&gt;0))),O14&amp;" ","")&amp;IF(NOT(OR(P14="",COUNTIF($F$2:$F$26,P14)=0,COUNTIFS($F$2:$F$26,P14,$Q$2:$Q$26,"Aprobada")&gt;0,AND(Resumen!$B$15="La cursada aprobada",COUNTIFS($F$2:$F$26,P14,$Q$2:$Q$26,"Cursada aprobada")&gt;0))),P14&amp;" ","")),""))</f>
        <v/>
      </c>
    </row>
    <row r="15" customFormat="false" ht="15" hidden="false" customHeight="false" outlineLevel="0" collapsed="false">
      <c r="A15" s="8" t="s">
        <v>240</v>
      </c>
      <c r="B15" s="8"/>
      <c r="C15" s="9" t="n">
        <v>2</v>
      </c>
      <c r="D15" s="9" t="s">
        <v>243</v>
      </c>
      <c r="E15" s="9" t="s">
        <v>69</v>
      </c>
      <c r="F15" s="9" t="n">
        <v>1098</v>
      </c>
      <c r="G15" s="8" t="s">
        <v>291</v>
      </c>
      <c r="H15" s="9" t="s">
        <v>61</v>
      </c>
      <c r="I15" s="9" t="n">
        <v>4</v>
      </c>
      <c r="J15" s="9"/>
      <c r="K15" s="9" t="n">
        <v>64</v>
      </c>
      <c r="L15" s="9" t="n">
        <v>1094</v>
      </c>
      <c r="M15" s="9" t="n">
        <v>1104</v>
      </c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cursada",IF(AND(OR(L15="",COUNTIF($F$2:$F$26,L15)=0,COUNTIFS($F$2:$F$26,L15,$Q$2:$Q$26,"Aprobada")&gt;0,AND(Resumen!$B$15="La cursada aprobada",COUNTIFS($F$2:$F$26,L15,$Q$2:$Q$26,"Cursada aprobada")&gt;0)),OR(M15="",COUNTIF($F$2:$F$26,M15)=0,COUNTIFS($F$2:$F$26,M15,$Q$2:$Q$26,"Aprobada")&gt;0,AND(Resumen!$B$15="La cursada aprobada",COUNTIFS($F$2:$F$26,M15,$Q$2:$Q$26,"Cursada aprobada")&gt;0)),OR(N15="",COUNTIF($F$2:$F$26,N15)=0,COUNTIFS($F$2:$F$26,N15,$Q$2:$Q$26,"Aprobada")&gt;0,AND(Resumen!$B$15="La cursada aprobada",COUNTIFS($F$2:$F$26,N15,$Q$2:$Q$26,"Cursada aprobada")&gt;0)),OR(O15="",COUNTIF($F$2:$F$26,O15)=0,COUNTIFS($F$2:$F$26,O15,$Q$2:$Q$26,"Aprobada")&gt;0,AND(Resumen!$B$15="La cursada aprobada",COUNTIFS($F$2:$F$26,O15,$Q$2:$Q$26,"Cursada aprobada")&gt;0)),OR(P15="",COUNTIF($F$2:$F$26,P15)=0,COUNTIFS($F$2:$F$26,P15,$Q$2:$Q$26,"Aprobada")&gt;0,AND(Resumen!$B$15="La cursada aprobada",COUNTIFS($F$2:$F$26,P15,$Q$2:$Q$26,"Cursada aprobada")&gt;0))),"Sí","No")))</f>
        <v>No</v>
      </c>
      <c r="S15" s="8" t="str">
        <f aca="false">TRIM(IF(NOT(OR(L15="",COUNTIF($F$2:$F$26,L15)=0,COUNTIFS($F$2:$F$26,L15,$Q$2:$Q$26,"Aprobada")&gt;0,AND(Resumen!$B$15="La cursada aprobada",COUNTIFS($F$2:$F$26,L15,$Q$2:$Q$26,"Cursada aprobada")&gt;0))),L15&amp;" ","")&amp;IF(NOT(OR(M15="",COUNTIF($F$2:$F$26,M15)=0,COUNTIFS($F$2:$F$26,M15,$Q$2:$Q$26,"Aprobada")&gt;0,AND(Resumen!$B$15="La cursada aprobada",COUNTIFS($F$2:$F$26,M15,$Q$2:$Q$26,"Cursada aprobada")&gt;0))),M15&amp;" ","")&amp;IF(NOT(OR(N15="",COUNTIF($F$2:$F$26,N15)=0,COUNTIFS($F$2:$F$26,N15,$Q$2:$Q$26,"Aprobada")&gt;0,AND(Resumen!$B$15="La cursada aprobada",COUNTIFS($F$2:$F$26,N15,$Q$2:$Q$26,"Cursada aprobada")&gt;0))),N15&amp;" ","")&amp;IF(NOT(OR(O15="",COUNTIF($F$2:$F$26,O15)=0,COUNTIFS($F$2:$F$26,O15,$Q$2:$Q$26,"Aprobada")&gt;0,AND(Resumen!$B$15="La cursada aprobada",COUNTIFS($F$2:$F$26,O15,$Q$2:$Q$26,"Cursada aprobada")&gt;0))),O15&amp;" ","")&amp;IF(NOT(OR(P15="",COUNTIF($F$2:$F$26,P15)=0,COUNTIFS($F$2:$F$26,P15,$Q$2:$Q$26,"Aprobada")&gt;0,AND(Resumen!$B$15="La cursada aprobada",COUNTIFS($F$2:$F$26,P15,$Q$2:$Q$26,"Cursada aprobada")&gt;0))),P15&amp;" ",""))</f>
        <v>1094 1104</v>
      </c>
      <c r="T15" s="9" t="str">
        <f aca="false">IF(Q15="Cursada aprobada",IF(AND(OR(L15="",COUNTIF($F$2:$F$26,L15)=0,COUNTIFS($F$2:$F$26,L15,$Q$2:$Q$26,"Aprobada")&gt;0),OR(M15="",COUNTIF($F$2:$F$26,M15)=0,COUNTIFS($F$2:$F$26,M15,$Q$2:$Q$26,"Aprobada")&gt;0),OR(N15="",COUNTIF($F$2:$F$26,N15)=0,COUNTIFS($F$2:$F$26,N15,$Q$2:$Q$26,"Aprobada")&gt;0),OR(O15="",COUNTIF($F$2:$F$26,O15)=0,COUNTIFS($F$2:$F$26,O15,$Q$2:$Q$26,"Aprobada")&gt;0),OR(P15="",COUNTIF($F$2:$F$26,P15)=0,COUNTIFS($F$2:$F$26,P15,$Q$2:$Q$26,"Aprobada")&gt;0)),"Sí","No"),"")</f>
        <v/>
      </c>
      <c r="U15" s="9" t="str">
        <f aca="false">IF(Q15="Aprobada",TRIM(IF(NOT(OR(L15="",COUNTIF($F$2:$F$26,L15)=0,COUNTIFS($F$2:$F$26,L15,$Q$2:$Q$26,"Aprobada")&gt;0)),L15&amp;" ","")&amp;IF(NOT(OR(M15="",COUNTIF($F$2:$F$26,M15)=0,COUNTIFS($F$2:$F$26,M15,$Q$2:$Q$26,"Aprobada")&gt;0)),M15&amp;" ","")&amp;IF(NOT(OR(N15="",COUNTIF($F$2:$F$26,N15)=0,COUNTIFS($F$2:$F$26,N15,$Q$2:$Q$26,"Aprobada")&gt;0)),N15&amp;" ","")&amp;IF(NOT(OR(O15="",COUNTIF($F$2:$F$26,O15)=0,COUNTIFS($F$2:$F$26,O15,$Q$2:$Q$26,"Aprobada")&gt;0)),O15&amp;" ","")&amp;IF(NOT(OR(P15="",COUNTIF($F$2:$F$26,P15)=0,COUNTIFS($F$2:$F$26,P15,$Q$2:$Q$26,"Aprobada")&gt;0)),P15&amp;" ","")),IF(Q15="Cursada aprobada",TRIM(IF(NOT(OR(L15="",COUNTIF($F$2:$F$26,L15)=0,COUNTIFS($F$2:$F$26,L15,$Q$2:$Q$26,"Aprobada")&gt;0,AND(Resumen!$B$15="La cursada aprobada",COUNTIFS($F$2:$F$26,L15,$Q$2:$Q$26,"Cursada aprobada")&gt;0))),L15&amp;" ","")&amp;IF(NOT(OR(M15="",COUNTIF($F$2:$F$26,M15)=0,COUNTIFS($F$2:$F$26,M15,$Q$2:$Q$26,"Aprobada")&gt;0,AND(Resumen!$B$15="La cursada aprobada",COUNTIFS($F$2:$F$26,M15,$Q$2:$Q$26,"Cursada aprobada")&gt;0))),M15&amp;" ","")&amp;IF(NOT(OR(N15="",COUNTIF($F$2:$F$26,N15)=0,COUNTIFS($F$2:$F$26,N15,$Q$2:$Q$26,"Aprobada")&gt;0,AND(Resumen!$B$15="La cursada aprobada",COUNTIFS($F$2:$F$26,N15,$Q$2:$Q$26,"Cursada aprobada")&gt;0))),N15&amp;" ","")&amp;IF(NOT(OR(O15="",COUNTIF($F$2:$F$26,O15)=0,COUNTIFS($F$2:$F$26,O15,$Q$2:$Q$26,"Aprobada")&gt;0,AND(Resumen!$B$15="La cursada aprobada",COUNTIFS($F$2:$F$26,O15,$Q$2:$Q$26,"Cursada aprobada")&gt;0))),O15&amp;" ","")&amp;IF(NOT(OR(P15="",COUNTIF($F$2:$F$26,P15)=0,COUNTIFS($F$2:$F$26,P15,$Q$2:$Q$26,"Aprobada")&gt;0,AND(Resumen!$B$15="La cursada aprobada",COUNTIFS($F$2:$F$26,P15,$Q$2:$Q$26,"Cursada aprobada")&gt;0))),P15&amp;" ","")),""))</f>
        <v/>
      </c>
    </row>
    <row r="16" customFormat="false" ht="15" hidden="false" customHeight="false" outlineLevel="0" collapsed="false">
      <c r="A16" s="8" t="s">
        <v>240</v>
      </c>
      <c r="B16" s="8"/>
      <c r="C16" s="9" t="n">
        <v>2</v>
      </c>
      <c r="D16" s="9" t="s">
        <v>243</v>
      </c>
      <c r="E16" s="9" t="s">
        <v>63</v>
      </c>
      <c r="F16" s="9" t="n">
        <v>1106</v>
      </c>
      <c r="G16" s="8" t="s">
        <v>111</v>
      </c>
      <c r="H16" s="9" t="s">
        <v>92</v>
      </c>
      <c r="I16" s="9" t="n">
        <v>4</v>
      </c>
      <c r="J16" s="9"/>
      <c r="K16" s="9" t="n">
        <v>64</v>
      </c>
      <c r="L16" s="9" t="n">
        <v>104</v>
      </c>
      <c r="M16" s="9" t="n">
        <v>1093</v>
      </c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cursada",IF(AND(OR(L16="",COUNTIF($F$2:$F$26,L16)=0,COUNTIFS($F$2:$F$26,L16,$Q$2:$Q$26,"Aprobada")&gt;0,AND(Resumen!$B$15="La cursada aprobada",COUNTIFS($F$2:$F$26,L16,$Q$2:$Q$26,"Cursada aprobada")&gt;0)),OR(M16="",COUNTIF($F$2:$F$26,M16)=0,COUNTIFS($F$2:$F$26,M16,$Q$2:$Q$26,"Aprobada")&gt;0,AND(Resumen!$B$15="La cursada aprobada",COUNTIFS($F$2:$F$26,M16,$Q$2:$Q$26,"Cursada aprobada")&gt;0)),OR(N16="",COUNTIF($F$2:$F$26,N16)=0,COUNTIFS($F$2:$F$26,N16,$Q$2:$Q$26,"Aprobada")&gt;0,AND(Resumen!$B$15="La cursada aprobada",COUNTIFS($F$2:$F$26,N16,$Q$2:$Q$26,"Cursada aprobada")&gt;0)),OR(O16="",COUNTIF($F$2:$F$26,O16)=0,COUNTIFS($F$2:$F$26,O16,$Q$2:$Q$26,"Aprobada")&gt;0,AND(Resumen!$B$15="La cursada aprobada",COUNTIFS($F$2:$F$26,O16,$Q$2:$Q$26,"Cursada aprobada")&gt;0)),OR(P16="",COUNTIF($F$2:$F$26,P16)=0,COUNTIFS($F$2:$F$26,P16,$Q$2:$Q$26,"Aprobada")&gt;0,AND(Resumen!$B$15="La cursada aprobada",COUNTIFS($F$2:$F$26,P16,$Q$2:$Q$26,"Cursada aprobada")&gt;0))),"Sí","No")))</f>
        <v>No</v>
      </c>
      <c r="S16" s="8" t="str">
        <f aca="false">TRIM(IF(NOT(OR(L16="",COUNTIF($F$2:$F$26,L16)=0,COUNTIFS($F$2:$F$26,L16,$Q$2:$Q$26,"Aprobada")&gt;0,AND(Resumen!$B$15="La cursada aprobada",COUNTIFS($F$2:$F$26,L16,$Q$2:$Q$26,"Cursada aprobada")&gt;0))),L16&amp;" ","")&amp;IF(NOT(OR(M16="",COUNTIF($F$2:$F$26,M16)=0,COUNTIFS($F$2:$F$26,M16,$Q$2:$Q$26,"Aprobada")&gt;0,AND(Resumen!$B$15="La cursada aprobada",COUNTIFS($F$2:$F$26,M16,$Q$2:$Q$26,"Cursada aprobada")&gt;0))),M16&amp;" ","")&amp;IF(NOT(OR(N16="",COUNTIF($F$2:$F$26,N16)=0,COUNTIFS($F$2:$F$26,N16,$Q$2:$Q$26,"Aprobada")&gt;0,AND(Resumen!$B$15="La cursada aprobada",COUNTIFS($F$2:$F$26,N16,$Q$2:$Q$26,"Cursada aprobada")&gt;0))),N16&amp;" ","")&amp;IF(NOT(OR(O16="",COUNTIF($F$2:$F$26,O16)=0,COUNTIFS($F$2:$F$26,O16,$Q$2:$Q$26,"Aprobada")&gt;0,AND(Resumen!$B$15="La cursada aprobada",COUNTIFS($F$2:$F$26,O16,$Q$2:$Q$26,"Cursada aprobada")&gt;0))),O16&amp;" ","")&amp;IF(NOT(OR(P16="",COUNTIF($F$2:$F$26,P16)=0,COUNTIFS($F$2:$F$26,P16,$Q$2:$Q$26,"Aprobada")&gt;0,AND(Resumen!$B$15="La cursada aprobada",COUNTIFS($F$2:$F$26,P16,$Q$2:$Q$26,"Cursada aprobada")&gt;0))),P16&amp;" ",""))</f>
        <v>104 1093</v>
      </c>
      <c r="T16" s="9" t="str">
        <f aca="false">IF(Q16="Cursada aprobada",IF(AND(OR(L16="",COUNTIF($F$2:$F$26,L16)=0,COUNTIFS($F$2:$F$26,L16,$Q$2:$Q$26,"Aprobada")&gt;0),OR(M16="",COUNTIF($F$2:$F$26,M16)=0,COUNTIFS($F$2:$F$26,M16,$Q$2:$Q$26,"Aprobada")&gt;0),OR(N16="",COUNTIF($F$2:$F$26,N16)=0,COUNTIFS($F$2:$F$26,N16,$Q$2:$Q$26,"Aprobada")&gt;0),OR(O16="",COUNTIF($F$2:$F$26,O16)=0,COUNTIFS($F$2:$F$26,O16,$Q$2:$Q$26,"Aprobada")&gt;0),OR(P16="",COUNTIF($F$2:$F$26,P16)=0,COUNTIFS($F$2:$F$26,P16,$Q$2:$Q$26,"Aprobada")&gt;0)),"Sí","No"),"")</f>
        <v/>
      </c>
      <c r="U16" s="9" t="str">
        <f aca="false">IF(Q16="Aprobada",TRIM(IF(NOT(OR(L16="",COUNTIF($F$2:$F$26,L16)=0,COUNTIFS($F$2:$F$26,L16,$Q$2:$Q$26,"Aprobada")&gt;0)),L16&amp;" ","")&amp;IF(NOT(OR(M16="",COUNTIF($F$2:$F$26,M16)=0,COUNTIFS($F$2:$F$26,M16,$Q$2:$Q$26,"Aprobada")&gt;0)),M16&amp;" ","")&amp;IF(NOT(OR(N16="",COUNTIF($F$2:$F$26,N16)=0,COUNTIFS($F$2:$F$26,N16,$Q$2:$Q$26,"Aprobada")&gt;0)),N16&amp;" ","")&amp;IF(NOT(OR(O16="",COUNTIF($F$2:$F$26,O16)=0,COUNTIFS($F$2:$F$26,O16,$Q$2:$Q$26,"Aprobada")&gt;0)),O16&amp;" ","")&amp;IF(NOT(OR(P16="",COUNTIF($F$2:$F$26,P16)=0,COUNTIFS($F$2:$F$26,P16,$Q$2:$Q$26,"Aprobada")&gt;0)),P16&amp;" ","")),IF(Q16="Cursada aprobada",TRIM(IF(NOT(OR(L16="",COUNTIF($F$2:$F$26,L16)=0,COUNTIFS($F$2:$F$26,L16,$Q$2:$Q$26,"Aprobada")&gt;0,AND(Resumen!$B$15="La cursada aprobada",COUNTIFS($F$2:$F$26,L16,$Q$2:$Q$26,"Cursada aprobada")&gt;0))),L16&amp;" ","")&amp;IF(NOT(OR(M16="",COUNTIF($F$2:$F$26,M16)=0,COUNTIFS($F$2:$F$26,M16,$Q$2:$Q$26,"Aprobada")&gt;0,AND(Resumen!$B$15="La cursada aprobada",COUNTIFS($F$2:$F$26,M16,$Q$2:$Q$26,"Cursada aprobada")&gt;0))),M16&amp;" ","")&amp;IF(NOT(OR(N16="",COUNTIF($F$2:$F$26,N16)=0,COUNTIFS($F$2:$F$26,N16,$Q$2:$Q$26,"Aprobada")&gt;0,AND(Resumen!$B$15="La cursada aprobada",COUNTIFS($F$2:$F$26,N16,$Q$2:$Q$26,"Cursada aprobada")&gt;0))),N16&amp;" ","")&amp;IF(NOT(OR(O16="",COUNTIF($F$2:$F$26,O16)=0,COUNTIFS($F$2:$F$26,O16,$Q$2:$Q$26,"Aprobada")&gt;0,AND(Resumen!$B$15="La cursada aprobada",COUNTIFS($F$2:$F$26,O16,$Q$2:$Q$26,"Cursada aprobada")&gt;0))),O16&amp;" ","")&amp;IF(NOT(OR(P16="",COUNTIF($F$2:$F$26,P16)=0,COUNTIFS($F$2:$F$26,P16,$Q$2:$Q$26,"Aprobada")&gt;0,AND(Resumen!$B$15="La cursada aprobada",COUNTIFS($F$2:$F$26,P16,$Q$2:$Q$26,"Cursada aprobada")&gt;0))),P16&amp;" ","")),""))</f>
        <v/>
      </c>
    </row>
    <row r="17" customFormat="false" ht="15" hidden="false" customHeight="false" outlineLevel="0" collapsed="false">
      <c r="A17" s="8" t="s">
        <v>240</v>
      </c>
      <c r="B17" s="8"/>
      <c r="C17" s="9" t="n">
        <v>2</v>
      </c>
      <c r="D17" s="9" t="s">
        <v>243</v>
      </c>
      <c r="E17" s="9" t="s">
        <v>63</v>
      </c>
      <c r="F17" s="9" t="n">
        <v>1108</v>
      </c>
      <c r="G17" s="8" t="s">
        <v>292</v>
      </c>
      <c r="H17" s="9" t="s">
        <v>92</v>
      </c>
      <c r="I17" s="9" t="n">
        <v>4</v>
      </c>
      <c r="J17" s="9"/>
      <c r="K17" s="9" t="n">
        <v>64</v>
      </c>
      <c r="L17" s="9" t="n">
        <v>1090</v>
      </c>
      <c r="M17" s="9" t="n">
        <v>1105</v>
      </c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cursada",IF(AND(OR(L17="",COUNTIF($F$2:$F$26,L17)=0,COUNTIFS($F$2:$F$26,L17,$Q$2:$Q$26,"Aprobada")&gt;0,AND(Resumen!$B$15="La cursada aprobada",COUNTIFS($F$2:$F$26,L17,$Q$2:$Q$26,"Cursada aprobada")&gt;0)),OR(M17="",COUNTIF($F$2:$F$26,M17)=0,COUNTIFS($F$2:$F$26,M17,$Q$2:$Q$26,"Aprobada")&gt;0,AND(Resumen!$B$15="La cursada aprobada",COUNTIFS($F$2:$F$26,M17,$Q$2:$Q$26,"Cursada aprobada")&gt;0)),OR(N17="",COUNTIF($F$2:$F$26,N17)=0,COUNTIFS($F$2:$F$26,N17,$Q$2:$Q$26,"Aprobada")&gt;0,AND(Resumen!$B$15="La cursada aprobada",COUNTIFS($F$2:$F$26,N17,$Q$2:$Q$26,"Cursada aprobada")&gt;0)),OR(O17="",COUNTIF($F$2:$F$26,O17)=0,COUNTIFS($F$2:$F$26,O17,$Q$2:$Q$26,"Aprobada")&gt;0,AND(Resumen!$B$15="La cursada aprobada",COUNTIFS($F$2:$F$26,O17,$Q$2:$Q$26,"Cursada aprobada")&gt;0)),OR(P17="",COUNTIF($F$2:$F$26,P17)=0,COUNTIFS($F$2:$F$26,P17,$Q$2:$Q$26,"Aprobada")&gt;0,AND(Resumen!$B$15="La cursada aprobada",COUNTIFS($F$2:$F$26,P17,$Q$2:$Q$26,"Cursada aprobada")&gt;0))),"Sí","No")))</f>
        <v>No</v>
      </c>
      <c r="S17" s="8" t="str">
        <f aca="false">TRIM(IF(NOT(OR(L17="",COUNTIF($F$2:$F$26,L17)=0,COUNTIFS($F$2:$F$26,L17,$Q$2:$Q$26,"Aprobada")&gt;0,AND(Resumen!$B$15="La cursada aprobada",COUNTIFS($F$2:$F$26,L17,$Q$2:$Q$26,"Cursada aprobada")&gt;0))),L17&amp;" ","")&amp;IF(NOT(OR(M17="",COUNTIF($F$2:$F$26,M17)=0,COUNTIFS($F$2:$F$26,M17,$Q$2:$Q$26,"Aprobada")&gt;0,AND(Resumen!$B$15="La cursada aprobada",COUNTIFS($F$2:$F$26,M17,$Q$2:$Q$26,"Cursada aprobada")&gt;0))),M17&amp;" ","")&amp;IF(NOT(OR(N17="",COUNTIF($F$2:$F$26,N17)=0,COUNTIFS($F$2:$F$26,N17,$Q$2:$Q$26,"Aprobada")&gt;0,AND(Resumen!$B$15="La cursada aprobada",COUNTIFS($F$2:$F$26,N17,$Q$2:$Q$26,"Cursada aprobada")&gt;0))),N17&amp;" ","")&amp;IF(NOT(OR(O17="",COUNTIF($F$2:$F$26,O17)=0,COUNTIFS($F$2:$F$26,O17,$Q$2:$Q$26,"Aprobada")&gt;0,AND(Resumen!$B$15="La cursada aprobada",COUNTIFS($F$2:$F$26,O17,$Q$2:$Q$26,"Cursada aprobada")&gt;0))),O17&amp;" ","")&amp;IF(NOT(OR(P17="",COUNTIF($F$2:$F$26,P17)=0,COUNTIFS($F$2:$F$26,P17,$Q$2:$Q$26,"Aprobada")&gt;0,AND(Resumen!$B$15="La cursada aprobada",COUNTIFS($F$2:$F$26,P17,$Q$2:$Q$26,"Cursada aprobada")&gt;0))),P17&amp;" ",""))</f>
        <v>1090 1105</v>
      </c>
      <c r="T17" s="9" t="str">
        <f aca="false">IF(Q17="Cursada aprobada",IF(AND(OR(L17="",COUNTIF($F$2:$F$26,L17)=0,COUNTIFS($F$2:$F$26,L17,$Q$2:$Q$26,"Aprobada")&gt;0),OR(M17="",COUNTIF($F$2:$F$26,M17)=0,COUNTIFS($F$2:$F$26,M17,$Q$2:$Q$26,"Aprobada")&gt;0),OR(N17="",COUNTIF($F$2:$F$26,N17)=0,COUNTIFS($F$2:$F$26,N17,$Q$2:$Q$26,"Aprobada")&gt;0),OR(O17="",COUNTIF($F$2:$F$26,O17)=0,COUNTIFS($F$2:$F$26,O17,$Q$2:$Q$26,"Aprobada")&gt;0),OR(P17="",COUNTIF($F$2:$F$26,P17)=0,COUNTIFS($F$2:$F$26,P17,$Q$2:$Q$26,"Aprobada")&gt;0)),"Sí","No"),"")</f>
        <v/>
      </c>
      <c r="U17" s="9" t="str">
        <f aca="false">IF(Q17="Aprobada",TRIM(IF(NOT(OR(L17="",COUNTIF($F$2:$F$26,L17)=0,COUNTIFS($F$2:$F$26,L17,$Q$2:$Q$26,"Aprobada")&gt;0)),L17&amp;" ","")&amp;IF(NOT(OR(M17="",COUNTIF($F$2:$F$26,M17)=0,COUNTIFS($F$2:$F$26,M17,$Q$2:$Q$26,"Aprobada")&gt;0)),M17&amp;" ","")&amp;IF(NOT(OR(N17="",COUNTIF($F$2:$F$26,N17)=0,COUNTIFS($F$2:$F$26,N17,$Q$2:$Q$26,"Aprobada")&gt;0)),N17&amp;" ","")&amp;IF(NOT(OR(O17="",COUNTIF($F$2:$F$26,O17)=0,COUNTIFS($F$2:$F$26,O17,$Q$2:$Q$26,"Aprobada")&gt;0)),O17&amp;" ","")&amp;IF(NOT(OR(P17="",COUNTIF($F$2:$F$26,P17)=0,COUNTIFS($F$2:$F$26,P17,$Q$2:$Q$26,"Aprobada")&gt;0)),P17&amp;" ","")),IF(Q17="Cursada aprobada",TRIM(IF(NOT(OR(L17="",COUNTIF($F$2:$F$26,L17)=0,COUNTIFS($F$2:$F$26,L17,$Q$2:$Q$26,"Aprobada")&gt;0,AND(Resumen!$B$15="La cursada aprobada",COUNTIFS($F$2:$F$26,L17,$Q$2:$Q$26,"Cursada aprobada")&gt;0))),L17&amp;" ","")&amp;IF(NOT(OR(M17="",COUNTIF($F$2:$F$26,M17)=0,COUNTIFS($F$2:$F$26,M17,$Q$2:$Q$26,"Aprobada")&gt;0,AND(Resumen!$B$15="La cursada aprobada",COUNTIFS($F$2:$F$26,M17,$Q$2:$Q$26,"Cursada aprobada")&gt;0))),M17&amp;" ","")&amp;IF(NOT(OR(N17="",COUNTIF($F$2:$F$26,N17)=0,COUNTIFS($F$2:$F$26,N17,$Q$2:$Q$26,"Aprobada")&gt;0,AND(Resumen!$B$15="La cursada aprobada",COUNTIFS($F$2:$F$26,N17,$Q$2:$Q$26,"Cursada aprobada")&gt;0))),N17&amp;" ","")&amp;IF(NOT(OR(O17="",COUNTIF($F$2:$F$26,O17)=0,COUNTIFS($F$2:$F$26,O17,$Q$2:$Q$26,"Aprobada")&gt;0,AND(Resumen!$B$15="La cursada aprobada",COUNTIFS($F$2:$F$26,O17,$Q$2:$Q$26,"Cursada aprobada")&gt;0))),O17&amp;" ","")&amp;IF(NOT(OR(P17="",COUNTIF($F$2:$F$26,P17)=0,COUNTIFS($F$2:$F$26,P17,$Q$2:$Q$26,"Aprobada")&gt;0,AND(Resumen!$B$15="La cursada aprobada",COUNTIFS($F$2:$F$26,P17,$Q$2:$Q$26,"Cursada aprobada")&gt;0))),P17&amp;" ","")),""))</f>
        <v/>
      </c>
    </row>
    <row r="18" customFormat="false" ht="15" hidden="false" customHeight="false" outlineLevel="0" collapsed="false">
      <c r="A18" s="8" t="s">
        <v>240</v>
      </c>
      <c r="B18" s="8"/>
      <c r="C18" s="9" t="n">
        <v>3</v>
      </c>
      <c r="D18" s="9" t="s">
        <v>241</v>
      </c>
      <c r="E18" s="9" t="s">
        <v>69</v>
      </c>
      <c r="F18" s="9" t="n">
        <v>1095</v>
      </c>
      <c r="G18" s="8" t="s">
        <v>293</v>
      </c>
      <c r="H18" s="9" t="s">
        <v>61</v>
      </c>
      <c r="I18" s="9" t="n">
        <v>4</v>
      </c>
      <c r="J18" s="9"/>
      <c r="K18" s="9" t="n">
        <v>64</v>
      </c>
      <c r="L18" s="9" t="n">
        <v>1099</v>
      </c>
      <c r="M18" s="9" t="n">
        <v>1104</v>
      </c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cursada",IF(AND(OR(L18="",COUNTIF($F$2:$F$26,L18)=0,COUNTIFS($F$2:$F$26,L18,$Q$2:$Q$26,"Aprobada")&gt;0,AND(Resumen!$B$15="La cursada aprobada",COUNTIFS($F$2:$F$26,L18,$Q$2:$Q$26,"Cursada aprobada")&gt;0)),OR(M18="",COUNTIF($F$2:$F$26,M18)=0,COUNTIFS($F$2:$F$26,M18,$Q$2:$Q$26,"Aprobada")&gt;0,AND(Resumen!$B$15="La cursada aprobada",COUNTIFS($F$2:$F$26,M18,$Q$2:$Q$26,"Cursada aprobada")&gt;0)),OR(N18="",COUNTIF($F$2:$F$26,N18)=0,COUNTIFS($F$2:$F$26,N18,$Q$2:$Q$26,"Aprobada")&gt;0,AND(Resumen!$B$15="La cursada aprobada",COUNTIFS($F$2:$F$26,N18,$Q$2:$Q$26,"Cursada aprobada")&gt;0)),OR(O18="",COUNTIF($F$2:$F$26,O18)=0,COUNTIFS($F$2:$F$26,O18,$Q$2:$Q$26,"Aprobada")&gt;0,AND(Resumen!$B$15="La cursada aprobada",COUNTIFS($F$2:$F$26,O18,$Q$2:$Q$26,"Cursada aprobada")&gt;0)),OR(P18="",COUNTIF($F$2:$F$26,P18)=0,COUNTIFS($F$2:$F$26,P18,$Q$2:$Q$26,"Aprobada")&gt;0,AND(Resumen!$B$15="La cursada aprobada",COUNTIFS($F$2:$F$26,P18,$Q$2:$Q$26,"Cursada aprobada")&gt;0))),"Sí","No")))</f>
        <v>No</v>
      </c>
      <c r="S18" s="8" t="str">
        <f aca="false">TRIM(IF(NOT(OR(L18="",COUNTIF($F$2:$F$26,L18)=0,COUNTIFS($F$2:$F$26,L18,$Q$2:$Q$26,"Aprobada")&gt;0,AND(Resumen!$B$15="La cursada aprobada",COUNTIFS($F$2:$F$26,L18,$Q$2:$Q$26,"Cursada aprobada")&gt;0))),L18&amp;" ","")&amp;IF(NOT(OR(M18="",COUNTIF($F$2:$F$26,M18)=0,COUNTIFS($F$2:$F$26,M18,$Q$2:$Q$26,"Aprobada")&gt;0,AND(Resumen!$B$15="La cursada aprobada",COUNTIFS($F$2:$F$26,M18,$Q$2:$Q$26,"Cursada aprobada")&gt;0))),M18&amp;" ","")&amp;IF(NOT(OR(N18="",COUNTIF($F$2:$F$26,N18)=0,COUNTIFS($F$2:$F$26,N18,$Q$2:$Q$26,"Aprobada")&gt;0,AND(Resumen!$B$15="La cursada aprobada",COUNTIFS($F$2:$F$26,N18,$Q$2:$Q$26,"Cursada aprobada")&gt;0))),N18&amp;" ","")&amp;IF(NOT(OR(O18="",COUNTIF($F$2:$F$26,O18)=0,COUNTIFS($F$2:$F$26,O18,$Q$2:$Q$26,"Aprobada")&gt;0,AND(Resumen!$B$15="La cursada aprobada",COUNTIFS($F$2:$F$26,O18,$Q$2:$Q$26,"Cursada aprobada")&gt;0))),O18&amp;" ","")&amp;IF(NOT(OR(P18="",COUNTIF($F$2:$F$26,P18)=0,COUNTIFS($F$2:$F$26,P18,$Q$2:$Q$26,"Aprobada")&gt;0,AND(Resumen!$B$15="La cursada aprobada",COUNTIFS($F$2:$F$26,P18,$Q$2:$Q$26,"Cursada aprobada")&gt;0))),P18&amp;" ",""))</f>
        <v>1099 1104</v>
      </c>
      <c r="T18" s="9" t="str">
        <f aca="false">IF(Q18="Cursada aprobada",IF(AND(OR(L18="",COUNTIF($F$2:$F$26,L18)=0,COUNTIFS($F$2:$F$26,L18,$Q$2:$Q$26,"Aprobada")&gt;0),OR(M18="",COUNTIF($F$2:$F$26,M18)=0,COUNTIFS($F$2:$F$26,M18,$Q$2:$Q$26,"Aprobada")&gt;0),OR(N18="",COUNTIF($F$2:$F$26,N18)=0,COUNTIFS($F$2:$F$26,N18,$Q$2:$Q$26,"Aprobada")&gt;0),OR(O18="",COUNTIF($F$2:$F$26,O18)=0,COUNTIFS($F$2:$F$26,O18,$Q$2:$Q$26,"Aprobada")&gt;0),OR(P18="",COUNTIF($F$2:$F$26,P18)=0,COUNTIFS($F$2:$F$26,P18,$Q$2:$Q$26,"Aprobada")&gt;0)),"Sí","No"),"")</f>
        <v/>
      </c>
      <c r="U18" s="9" t="str">
        <f aca="false">IF(Q18="Aprobada",TRIM(IF(NOT(OR(L18="",COUNTIF($F$2:$F$26,L18)=0,COUNTIFS($F$2:$F$26,L18,$Q$2:$Q$26,"Aprobada")&gt;0)),L18&amp;" ","")&amp;IF(NOT(OR(M18="",COUNTIF($F$2:$F$26,M18)=0,COUNTIFS($F$2:$F$26,M18,$Q$2:$Q$26,"Aprobada")&gt;0)),M18&amp;" ","")&amp;IF(NOT(OR(N18="",COUNTIF($F$2:$F$26,N18)=0,COUNTIFS($F$2:$F$26,N18,$Q$2:$Q$26,"Aprobada")&gt;0)),N18&amp;" ","")&amp;IF(NOT(OR(O18="",COUNTIF($F$2:$F$26,O18)=0,COUNTIFS($F$2:$F$26,O18,$Q$2:$Q$26,"Aprobada")&gt;0)),O18&amp;" ","")&amp;IF(NOT(OR(P18="",COUNTIF($F$2:$F$26,P18)=0,COUNTIFS($F$2:$F$26,P18,$Q$2:$Q$26,"Aprobada")&gt;0)),P18&amp;" ","")),IF(Q18="Cursada aprobada",TRIM(IF(NOT(OR(L18="",COUNTIF($F$2:$F$26,L18)=0,COUNTIFS($F$2:$F$26,L18,$Q$2:$Q$26,"Aprobada")&gt;0,AND(Resumen!$B$15="La cursada aprobada",COUNTIFS($F$2:$F$26,L18,$Q$2:$Q$26,"Cursada aprobada")&gt;0))),L18&amp;" ","")&amp;IF(NOT(OR(M18="",COUNTIF($F$2:$F$26,M18)=0,COUNTIFS($F$2:$F$26,M18,$Q$2:$Q$26,"Aprobada")&gt;0,AND(Resumen!$B$15="La cursada aprobada",COUNTIFS($F$2:$F$26,M18,$Q$2:$Q$26,"Cursada aprobada")&gt;0))),M18&amp;" ","")&amp;IF(NOT(OR(N18="",COUNTIF($F$2:$F$26,N18)=0,COUNTIFS($F$2:$F$26,N18,$Q$2:$Q$26,"Aprobada")&gt;0,AND(Resumen!$B$15="La cursada aprobada",COUNTIFS($F$2:$F$26,N18,$Q$2:$Q$26,"Cursada aprobada")&gt;0))),N18&amp;" ","")&amp;IF(NOT(OR(O18="",COUNTIF($F$2:$F$26,O18)=0,COUNTIFS($F$2:$F$26,O18,$Q$2:$Q$26,"Aprobada")&gt;0,AND(Resumen!$B$15="La cursada aprobada",COUNTIFS($F$2:$F$26,O18,$Q$2:$Q$26,"Cursada aprobada")&gt;0))),O18&amp;" ","")&amp;IF(NOT(OR(P18="",COUNTIF($F$2:$F$26,P18)=0,COUNTIFS($F$2:$F$26,P18,$Q$2:$Q$26,"Aprobada")&gt;0,AND(Resumen!$B$15="La cursada aprobada",COUNTIFS($F$2:$F$26,P18,$Q$2:$Q$26,"Cursada aprobada")&gt;0))),P18&amp;" ","")),""))</f>
        <v/>
      </c>
    </row>
    <row r="19" customFormat="false" ht="15" hidden="false" customHeight="false" outlineLevel="0" collapsed="false">
      <c r="A19" s="8" t="s">
        <v>240</v>
      </c>
      <c r="B19" s="8"/>
      <c r="C19" s="9" t="n">
        <v>3</v>
      </c>
      <c r="D19" s="9" t="s">
        <v>241</v>
      </c>
      <c r="E19" s="9" t="s">
        <v>69</v>
      </c>
      <c r="F19" s="9" t="n">
        <v>1096</v>
      </c>
      <c r="G19" s="8" t="s">
        <v>294</v>
      </c>
      <c r="H19" s="9" t="s">
        <v>61</v>
      </c>
      <c r="I19" s="9" t="n">
        <v>4</v>
      </c>
      <c r="J19" s="9"/>
      <c r="K19" s="9" t="n">
        <v>64</v>
      </c>
      <c r="L19" s="9" t="n">
        <v>1094</v>
      </c>
      <c r="M19" s="9"/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cursada",IF(AND(OR(L19="",COUNTIF($F$2:$F$26,L19)=0,COUNTIFS($F$2:$F$26,L19,$Q$2:$Q$26,"Aprobada")&gt;0,AND(Resumen!$B$15="La cursada aprobada",COUNTIFS($F$2:$F$26,L19,$Q$2:$Q$26,"Cursada aprobada")&gt;0)),OR(M19="",COUNTIF($F$2:$F$26,M19)=0,COUNTIFS($F$2:$F$26,M19,$Q$2:$Q$26,"Aprobada")&gt;0,AND(Resumen!$B$15="La cursada aprobada",COUNTIFS($F$2:$F$26,M19,$Q$2:$Q$26,"Cursada aprobada")&gt;0)),OR(N19="",COUNTIF($F$2:$F$26,N19)=0,COUNTIFS($F$2:$F$26,N19,$Q$2:$Q$26,"Aprobada")&gt;0,AND(Resumen!$B$15="La cursada aprobada",COUNTIFS($F$2:$F$26,N19,$Q$2:$Q$26,"Cursada aprobada")&gt;0)),OR(O19="",COUNTIF($F$2:$F$26,O19)=0,COUNTIFS($F$2:$F$26,O19,$Q$2:$Q$26,"Aprobada")&gt;0,AND(Resumen!$B$15="La cursada aprobada",COUNTIFS($F$2:$F$26,O19,$Q$2:$Q$26,"Cursada aprobada")&gt;0)),OR(P19="",COUNTIF($F$2:$F$26,P19)=0,COUNTIFS($F$2:$F$26,P19,$Q$2:$Q$26,"Aprobada")&gt;0,AND(Resumen!$B$15="La cursada aprobada",COUNTIFS($F$2:$F$26,P19,$Q$2:$Q$26,"Cursada aprobada")&gt;0))),"Sí","No")))</f>
        <v>No</v>
      </c>
      <c r="S19" s="8" t="str">
        <f aca="false">TRIM(IF(NOT(OR(L19="",COUNTIF($F$2:$F$26,L19)=0,COUNTIFS($F$2:$F$26,L19,$Q$2:$Q$26,"Aprobada")&gt;0,AND(Resumen!$B$15="La cursada aprobada",COUNTIFS($F$2:$F$26,L19,$Q$2:$Q$26,"Cursada aprobada")&gt;0))),L19&amp;" ","")&amp;IF(NOT(OR(M19="",COUNTIF($F$2:$F$26,M19)=0,COUNTIFS($F$2:$F$26,M19,$Q$2:$Q$26,"Aprobada")&gt;0,AND(Resumen!$B$15="La cursada aprobada",COUNTIFS($F$2:$F$26,M19,$Q$2:$Q$26,"Cursada aprobada")&gt;0))),M19&amp;" ","")&amp;IF(NOT(OR(N19="",COUNTIF($F$2:$F$26,N19)=0,COUNTIFS($F$2:$F$26,N19,$Q$2:$Q$26,"Aprobada")&gt;0,AND(Resumen!$B$15="La cursada aprobada",COUNTIFS($F$2:$F$26,N19,$Q$2:$Q$26,"Cursada aprobada")&gt;0))),N19&amp;" ","")&amp;IF(NOT(OR(O19="",COUNTIF($F$2:$F$26,O19)=0,COUNTIFS($F$2:$F$26,O19,$Q$2:$Q$26,"Aprobada")&gt;0,AND(Resumen!$B$15="La cursada aprobada",COUNTIFS($F$2:$F$26,O19,$Q$2:$Q$26,"Cursada aprobada")&gt;0))),O19&amp;" ","")&amp;IF(NOT(OR(P19="",COUNTIF($F$2:$F$26,P19)=0,COUNTIFS($F$2:$F$26,P19,$Q$2:$Q$26,"Aprobada")&gt;0,AND(Resumen!$B$15="La cursada aprobada",COUNTIFS($F$2:$F$26,P19,$Q$2:$Q$26,"Cursada aprobada")&gt;0))),P19&amp;" ",""))</f>
        <v>1094</v>
      </c>
      <c r="T19" s="9" t="str">
        <f aca="false">IF(Q19="Cursada aprobada",IF(AND(OR(L19="",COUNTIF($F$2:$F$26,L19)=0,COUNTIFS($F$2:$F$26,L19,$Q$2:$Q$26,"Aprobada")&gt;0),OR(M19="",COUNTIF($F$2:$F$26,M19)=0,COUNTIFS($F$2:$F$26,M19,$Q$2:$Q$26,"Aprobada")&gt;0),OR(N19="",COUNTIF($F$2:$F$26,N19)=0,COUNTIFS($F$2:$F$26,N19,$Q$2:$Q$26,"Aprobada")&gt;0),OR(O19="",COUNTIF($F$2:$F$26,O19)=0,COUNTIFS($F$2:$F$26,O19,$Q$2:$Q$26,"Aprobada")&gt;0),OR(P19="",COUNTIF($F$2:$F$26,P19)=0,COUNTIFS($F$2:$F$26,P19,$Q$2:$Q$26,"Aprobada")&gt;0)),"Sí","No"),"")</f>
        <v/>
      </c>
      <c r="U19" s="9" t="str">
        <f aca="false">IF(Q19="Aprobada",TRIM(IF(NOT(OR(L19="",COUNTIF($F$2:$F$26,L19)=0,COUNTIFS($F$2:$F$26,L19,$Q$2:$Q$26,"Aprobada")&gt;0)),L19&amp;" ","")&amp;IF(NOT(OR(M19="",COUNTIF($F$2:$F$26,M19)=0,COUNTIFS($F$2:$F$26,M19,$Q$2:$Q$26,"Aprobada")&gt;0)),M19&amp;" ","")&amp;IF(NOT(OR(N19="",COUNTIF($F$2:$F$26,N19)=0,COUNTIFS($F$2:$F$26,N19,$Q$2:$Q$26,"Aprobada")&gt;0)),N19&amp;" ","")&amp;IF(NOT(OR(O19="",COUNTIF($F$2:$F$26,O19)=0,COUNTIFS($F$2:$F$26,O19,$Q$2:$Q$26,"Aprobada")&gt;0)),O19&amp;" ","")&amp;IF(NOT(OR(P19="",COUNTIF($F$2:$F$26,P19)=0,COUNTIFS($F$2:$F$26,P19,$Q$2:$Q$26,"Aprobada")&gt;0)),P19&amp;" ","")),IF(Q19="Cursada aprobada",TRIM(IF(NOT(OR(L19="",COUNTIF($F$2:$F$26,L19)=0,COUNTIFS($F$2:$F$26,L19,$Q$2:$Q$26,"Aprobada")&gt;0,AND(Resumen!$B$15="La cursada aprobada",COUNTIFS($F$2:$F$26,L19,$Q$2:$Q$26,"Cursada aprobada")&gt;0))),L19&amp;" ","")&amp;IF(NOT(OR(M19="",COUNTIF($F$2:$F$26,M19)=0,COUNTIFS($F$2:$F$26,M19,$Q$2:$Q$26,"Aprobada")&gt;0,AND(Resumen!$B$15="La cursada aprobada",COUNTIFS($F$2:$F$26,M19,$Q$2:$Q$26,"Cursada aprobada")&gt;0))),M19&amp;" ","")&amp;IF(NOT(OR(N19="",COUNTIF($F$2:$F$26,N19)=0,COUNTIFS($F$2:$F$26,N19,$Q$2:$Q$26,"Aprobada")&gt;0,AND(Resumen!$B$15="La cursada aprobada",COUNTIFS($F$2:$F$26,N19,$Q$2:$Q$26,"Cursada aprobada")&gt;0))),N19&amp;" ","")&amp;IF(NOT(OR(O19="",COUNTIF($F$2:$F$26,O19)=0,COUNTIFS($F$2:$F$26,O19,$Q$2:$Q$26,"Aprobada")&gt;0,AND(Resumen!$B$15="La cursada aprobada",COUNTIFS($F$2:$F$26,O19,$Q$2:$Q$26,"Cursada aprobada")&gt;0))),O19&amp;" ","")&amp;IF(NOT(OR(P19="",COUNTIF($F$2:$F$26,P19)=0,COUNTIFS($F$2:$F$26,P19,$Q$2:$Q$26,"Aprobada")&gt;0,AND(Resumen!$B$15="La cursada aprobada",COUNTIFS($F$2:$F$26,P19,$Q$2:$Q$26,"Cursada aprobada")&gt;0))),P19&amp;" ","")),""))</f>
        <v/>
      </c>
    </row>
    <row r="20" customFormat="false" ht="15" hidden="false" customHeight="false" outlineLevel="0" collapsed="false">
      <c r="A20" s="8" t="s">
        <v>240</v>
      </c>
      <c r="B20" s="8"/>
      <c r="C20" s="9" t="n">
        <v>3</v>
      </c>
      <c r="D20" s="9" t="s">
        <v>241</v>
      </c>
      <c r="E20" s="9" t="s">
        <v>69</v>
      </c>
      <c r="F20" s="9" t="n">
        <v>1097</v>
      </c>
      <c r="G20" s="8" t="s">
        <v>295</v>
      </c>
      <c r="H20" s="9" t="s">
        <v>61</v>
      </c>
      <c r="I20" s="9" t="n">
        <v>4</v>
      </c>
      <c r="J20" s="9"/>
      <c r="K20" s="9" t="n">
        <v>64</v>
      </c>
      <c r="L20" s="9" t="n">
        <v>1094</v>
      </c>
      <c r="M20" s="9"/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cursada",IF(AND(OR(L20="",COUNTIF($F$2:$F$26,L20)=0,COUNTIFS($F$2:$F$26,L20,$Q$2:$Q$26,"Aprobada")&gt;0,AND(Resumen!$B$15="La cursada aprobada",COUNTIFS($F$2:$F$26,L20,$Q$2:$Q$26,"Cursada aprobada")&gt;0)),OR(M20="",COUNTIF($F$2:$F$26,M20)=0,COUNTIFS($F$2:$F$26,M20,$Q$2:$Q$26,"Aprobada")&gt;0,AND(Resumen!$B$15="La cursada aprobada",COUNTIFS($F$2:$F$26,M20,$Q$2:$Q$26,"Cursada aprobada")&gt;0)),OR(N20="",COUNTIF($F$2:$F$26,N20)=0,COUNTIFS($F$2:$F$26,N20,$Q$2:$Q$26,"Aprobada")&gt;0,AND(Resumen!$B$15="La cursada aprobada",COUNTIFS($F$2:$F$26,N20,$Q$2:$Q$26,"Cursada aprobada")&gt;0)),OR(O20="",COUNTIF($F$2:$F$26,O20)=0,COUNTIFS($F$2:$F$26,O20,$Q$2:$Q$26,"Aprobada")&gt;0,AND(Resumen!$B$15="La cursada aprobada",COUNTIFS($F$2:$F$26,O20,$Q$2:$Q$26,"Cursada aprobada")&gt;0)),OR(P20="",COUNTIF($F$2:$F$26,P20)=0,COUNTIFS($F$2:$F$26,P20,$Q$2:$Q$26,"Aprobada")&gt;0,AND(Resumen!$B$15="La cursada aprobada",COUNTIFS($F$2:$F$26,P20,$Q$2:$Q$26,"Cursada aprobada")&gt;0))),"Sí","No")))</f>
        <v>No</v>
      </c>
      <c r="S20" s="8" t="str">
        <f aca="false">TRIM(IF(NOT(OR(L20="",COUNTIF($F$2:$F$26,L20)=0,COUNTIFS($F$2:$F$26,L20,$Q$2:$Q$26,"Aprobada")&gt;0,AND(Resumen!$B$15="La cursada aprobada",COUNTIFS($F$2:$F$26,L20,$Q$2:$Q$26,"Cursada aprobada")&gt;0))),L20&amp;" ","")&amp;IF(NOT(OR(M20="",COUNTIF($F$2:$F$26,M20)=0,COUNTIFS($F$2:$F$26,M20,$Q$2:$Q$26,"Aprobada")&gt;0,AND(Resumen!$B$15="La cursada aprobada",COUNTIFS($F$2:$F$26,M20,$Q$2:$Q$26,"Cursada aprobada")&gt;0))),M20&amp;" ","")&amp;IF(NOT(OR(N20="",COUNTIF($F$2:$F$26,N20)=0,COUNTIFS($F$2:$F$26,N20,$Q$2:$Q$26,"Aprobada")&gt;0,AND(Resumen!$B$15="La cursada aprobada",COUNTIFS($F$2:$F$26,N20,$Q$2:$Q$26,"Cursada aprobada")&gt;0))),N20&amp;" ","")&amp;IF(NOT(OR(O20="",COUNTIF($F$2:$F$26,O20)=0,COUNTIFS($F$2:$F$26,O20,$Q$2:$Q$26,"Aprobada")&gt;0,AND(Resumen!$B$15="La cursada aprobada",COUNTIFS($F$2:$F$26,O20,$Q$2:$Q$26,"Cursada aprobada")&gt;0))),O20&amp;" ","")&amp;IF(NOT(OR(P20="",COUNTIF($F$2:$F$26,P20)=0,COUNTIFS($F$2:$F$26,P20,$Q$2:$Q$26,"Aprobada")&gt;0,AND(Resumen!$B$15="La cursada aprobada",COUNTIFS($F$2:$F$26,P20,$Q$2:$Q$26,"Cursada aprobada")&gt;0))),P20&amp;" ",""))</f>
        <v>1094</v>
      </c>
      <c r="T20" s="9" t="str">
        <f aca="false">IF(Q20="Cursada aprobada",IF(AND(OR(L20="",COUNTIF($F$2:$F$26,L20)=0,COUNTIFS($F$2:$F$26,L20,$Q$2:$Q$26,"Aprobada")&gt;0),OR(M20="",COUNTIF($F$2:$F$26,M20)=0,COUNTIFS($F$2:$F$26,M20,$Q$2:$Q$26,"Aprobada")&gt;0),OR(N20="",COUNTIF($F$2:$F$26,N20)=0,COUNTIFS($F$2:$F$26,N20,$Q$2:$Q$26,"Aprobada")&gt;0),OR(O20="",COUNTIF($F$2:$F$26,O20)=0,COUNTIFS($F$2:$F$26,O20,$Q$2:$Q$26,"Aprobada")&gt;0),OR(P20="",COUNTIF($F$2:$F$26,P20)=0,COUNTIFS($F$2:$F$26,P20,$Q$2:$Q$26,"Aprobada")&gt;0)),"Sí","No"),"")</f>
        <v/>
      </c>
      <c r="U20" s="9" t="str">
        <f aca="false">IF(Q20="Aprobada",TRIM(IF(NOT(OR(L20="",COUNTIF($F$2:$F$26,L20)=0,COUNTIFS($F$2:$F$26,L20,$Q$2:$Q$26,"Aprobada")&gt;0)),L20&amp;" ","")&amp;IF(NOT(OR(M20="",COUNTIF($F$2:$F$26,M20)=0,COUNTIFS($F$2:$F$26,M20,$Q$2:$Q$26,"Aprobada")&gt;0)),M20&amp;" ","")&amp;IF(NOT(OR(N20="",COUNTIF($F$2:$F$26,N20)=0,COUNTIFS($F$2:$F$26,N20,$Q$2:$Q$26,"Aprobada")&gt;0)),N20&amp;" ","")&amp;IF(NOT(OR(O20="",COUNTIF($F$2:$F$26,O20)=0,COUNTIFS($F$2:$F$26,O20,$Q$2:$Q$26,"Aprobada")&gt;0)),O20&amp;" ","")&amp;IF(NOT(OR(P20="",COUNTIF($F$2:$F$26,P20)=0,COUNTIFS($F$2:$F$26,P20,$Q$2:$Q$26,"Aprobada")&gt;0)),P20&amp;" ","")),IF(Q20="Cursada aprobada",TRIM(IF(NOT(OR(L20="",COUNTIF($F$2:$F$26,L20)=0,COUNTIFS($F$2:$F$26,L20,$Q$2:$Q$26,"Aprobada")&gt;0,AND(Resumen!$B$15="La cursada aprobada",COUNTIFS($F$2:$F$26,L20,$Q$2:$Q$26,"Cursada aprobada")&gt;0))),L20&amp;" ","")&amp;IF(NOT(OR(M20="",COUNTIF($F$2:$F$26,M20)=0,COUNTIFS($F$2:$F$26,M20,$Q$2:$Q$26,"Aprobada")&gt;0,AND(Resumen!$B$15="La cursada aprobada",COUNTIFS($F$2:$F$26,M20,$Q$2:$Q$26,"Cursada aprobada")&gt;0))),M20&amp;" ","")&amp;IF(NOT(OR(N20="",COUNTIF($F$2:$F$26,N20)=0,COUNTIFS($F$2:$F$26,N20,$Q$2:$Q$26,"Aprobada")&gt;0,AND(Resumen!$B$15="La cursada aprobada",COUNTIFS($F$2:$F$26,N20,$Q$2:$Q$26,"Cursada aprobada")&gt;0))),N20&amp;" ","")&amp;IF(NOT(OR(O20="",COUNTIF($F$2:$F$26,O20)=0,COUNTIFS($F$2:$F$26,O20,$Q$2:$Q$26,"Aprobada")&gt;0,AND(Resumen!$B$15="La cursada aprobada",COUNTIFS($F$2:$F$26,O20,$Q$2:$Q$26,"Cursada aprobada")&gt;0))),O20&amp;" ","")&amp;IF(NOT(OR(P20="",COUNTIF($F$2:$F$26,P20)=0,COUNTIFS($F$2:$F$26,P20,$Q$2:$Q$26,"Aprobada")&gt;0,AND(Resumen!$B$15="La cursada aprobada",COUNTIFS($F$2:$F$26,P20,$Q$2:$Q$26,"Cursada aprobada")&gt;0))),P20&amp;" ","")),""))</f>
        <v/>
      </c>
    </row>
    <row r="21" customFormat="false" ht="15" hidden="false" customHeight="false" outlineLevel="0" collapsed="false">
      <c r="A21" s="8" t="s">
        <v>240</v>
      </c>
      <c r="B21" s="8"/>
      <c r="C21" s="9" t="n">
        <v>3</v>
      </c>
      <c r="D21" s="9" t="s">
        <v>241</v>
      </c>
      <c r="E21" s="9" t="s">
        <v>63</v>
      </c>
      <c r="F21" s="9" t="n">
        <v>1107</v>
      </c>
      <c r="G21" s="8" t="s">
        <v>296</v>
      </c>
      <c r="H21" s="9" t="s">
        <v>92</v>
      </c>
      <c r="I21" s="9" t="n">
        <v>4</v>
      </c>
      <c r="J21" s="9"/>
      <c r="K21" s="9" t="n">
        <v>64</v>
      </c>
      <c r="L21" s="9" t="n">
        <v>104</v>
      </c>
      <c r="M21" s="9" t="n">
        <v>1093</v>
      </c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cursada",IF(AND(OR(L21="",COUNTIF($F$2:$F$26,L21)=0,COUNTIFS($F$2:$F$26,L21,$Q$2:$Q$26,"Aprobada")&gt;0,AND(Resumen!$B$15="La cursada aprobada",COUNTIFS($F$2:$F$26,L21,$Q$2:$Q$26,"Cursada aprobada")&gt;0)),OR(M21="",COUNTIF($F$2:$F$26,M21)=0,COUNTIFS($F$2:$F$26,M21,$Q$2:$Q$26,"Aprobada")&gt;0,AND(Resumen!$B$15="La cursada aprobada",COUNTIFS($F$2:$F$26,M21,$Q$2:$Q$26,"Cursada aprobada")&gt;0)),OR(N21="",COUNTIF($F$2:$F$26,N21)=0,COUNTIFS($F$2:$F$26,N21,$Q$2:$Q$26,"Aprobada")&gt;0,AND(Resumen!$B$15="La cursada aprobada",COUNTIFS($F$2:$F$26,N21,$Q$2:$Q$26,"Cursada aprobada")&gt;0)),OR(O21="",COUNTIF($F$2:$F$26,O21)=0,COUNTIFS($F$2:$F$26,O21,$Q$2:$Q$26,"Aprobada")&gt;0,AND(Resumen!$B$15="La cursada aprobada",COUNTIFS($F$2:$F$26,O21,$Q$2:$Q$26,"Cursada aprobada")&gt;0)),OR(P21="",COUNTIF($F$2:$F$26,P21)=0,COUNTIFS($F$2:$F$26,P21,$Q$2:$Q$26,"Aprobada")&gt;0,AND(Resumen!$B$15="La cursada aprobada",COUNTIFS($F$2:$F$26,P21,$Q$2:$Q$26,"Cursada aprobada")&gt;0))),"Sí","No")))</f>
        <v>No</v>
      </c>
      <c r="S21" s="8" t="str">
        <f aca="false">TRIM(IF(NOT(OR(L21="",COUNTIF($F$2:$F$26,L21)=0,COUNTIFS($F$2:$F$26,L21,$Q$2:$Q$26,"Aprobada")&gt;0,AND(Resumen!$B$15="La cursada aprobada",COUNTIFS($F$2:$F$26,L21,$Q$2:$Q$26,"Cursada aprobada")&gt;0))),L21&amp;" ","")&amp;IF(NOT(OR(M21="",COUNTIF($F$2:$F$26,M21)=0,COUNTIFS($F$2:$F$26,M21,$Q$2:$Q$26,"Aprobada")&gt;0,AND(Resumen!$B$15="La cursada aprobada",COUNTIFS($F$2:$F$26,M21,$Q$2:$Q$26,"Cursada aprobada")&gt;0))),M21&amp;" ","")&amp;IF(NOT(OR(N21="",COUNTIF($F$2:$F$26,N21)=0,COUNTIFS($F$2:$F$26,N21,$Q$2:$Q$26,"Aprobada")&gt;0,AND(Resumen!$B$15="La cursada aprobada",COUNTIFS($F$2:$F$26,N21,$Q$2:$Q$26,"Cursada aprobada")&gt;0))),N21&amp;" ","")&amp;IF(NOT(OR(O21="",COUNTIF($F$2:$F$26,O21)=0,COUNTIFS($F$2:$F$26,O21,$Q$2:$Q$26,"Aprobada")&gt;0,AND(Resumen!$B$15="La cursada aprobada",COUNTIFS($F$2:$F$26,O21,$Q$2:$Q$26,"Cursada aprobada")&gt;0))),O21&amp;" ","")&amp;IF(NOT(OR(P21="",COUNTIF($F$2:$F$26,P21)=0,COUNTIFS($F$2:$F$26,P21,$Q$2:$Q$26,"Aprobada")&gt;0,AND(Resumen!$B$15="La cursada aprobada",COUNTIFS($F$2:$F$26,P21,$Q$2:$Q$26,"Cursada aprobada")&gt;0))),P21&amp;" ",""))</f>
        <v>104 1093</v>
      </c>
      <c r="T21" s="9" t="str">
        <f aca="false">IF(Q21="Cursada aprobada",IF(AND(OR(L21="",COUNTIF($F$2:$F$26,L21)=0,COUNTIFS($F$2:$F$26,L21,$Q$2:$Q$26,"Aprobada")&gt;0),OR(M21="",COUNTIF($F$2:$F$26,M21)=0,COUNTIFS($F$2:$F$26,M21,$Q$2:$Q$26,"Aprobada")&gt;0),OR(N21="",COUNTIF($F$2:$F$26,N21)=0,COUNTIFS($F$2:$F$26,N21,$Q$2:$Q$26,"Aprobada")&gt;0),OR(O21="",COUNTIF($F$2:$F$26,O21)=0,COUNTIFS($F$2:$F$26,O21,$Q$2:$Q$26,"Aprobada")&gt;0),OR(P21="",COUNTIF($F$2:$F$26,P21)=0,COUNTIFS($F$2:$F$26,P21,$Q$2:$Q$26,"Aprobada")&gt;0)),"Sí","No"),"")</f>
        <v/>
      </c>
      <c r="U21" s="9" t="str">
        <f aca="false">IF(Q21="Aprobada",TRIM(IF(NOT(OR(L21="",COUNTIF($F$2:$F$26,L21)=0,COUNTIFS($F$2:$F$26,L21,$Q$2:$Q$26,"Aprobada")&gt;0)),L21&amp;" ","")&amp;IF(NOT(OR(M21="",COUNTIF($F$2:$F$26,M21)=0,COUNTIFS($F$2:$F$26,M21,$Q$2:$Q$26,"Aprobada")&gt;0)),M21&amp;" ","")&amp;IF(NOT(OR(N21="",COUNTIF($F$2:$F$26,N21)=0,COUNTIFS($F$2:$F$26,N21,$Q$2:$Q$26,"Aprobada")&gt;0)),N21&amp;" ","")&amp;IF(NOT(OR(O21="",COUNTIF($F$2:$F$26,O21)=0,COUNTIFS($F$2:$F$26,O21,$Q$2:$Q$26,"Aprobada")&gt;0)),O21&amp;" ","")&amp;IF(NOT(OR(P21="",COUNTIF($F$2:$F$26,P21)=0,COUNTIFS($F$2:$F$26,P21,$Q$2:$Q$26,"Aprobada")&gt;0)),P21&amp;" ","")),IF(Q21="Cursada aprobada",TRIM(IF(NOT(OR(L21="",COUNTIF($F$2:$F$26,L21)=0,COUNTIFS($F$2:$F$26,L21,$Q$2:$Q$26,"Aprobada")&gt;0,AND(Resumen!$B$15="La cursada aprobada",COUNTIFS($F$2:$F$26,L21,$Q$2:$Q$26,"Cursada aprobada")&gt;0))),L21&amp;" ","")&amp;IF(NOT(OR(M21="",COUNTIF($F$2:$F$26,M21)=0,COUNTIFS($F$2:$F$26,M21,$Q$2:$Q$26,"Aprobada")&gt;0,AND(Resumen!$B$15="La cursada aprobada",COUNTIFS($F$2:$F$26,M21,$Q$2:$Q$26,"Cursada aprobada")&gt;0))),M21&amp;" ","")&amp;IF(NOT(OR(N21="",COUNTIF($F$2:$F$26,N21)=0,COUNTIFS($F$2:$F$26,N21,$Q$2:$Q$26,"Aprobada")&gt;0,AND(Resumen!$B$15="La cursada aprobada",COUNTIFS($F$2:$F$26,N21,$Q$2:$Q$26,"Cursada aprobada")&gt;0))),N21&amp;" ","")&amp;IF(NOT(OR(O21="",COUNTIF($F$2:$F$26,O21)=0,COUNTIFS($F$2:$F$26,O21,$Q$2:$Q$26,"Aprobada")&gt;0,AND(Resumen!$B$15="La cursada aprobada",COUNTIFS($F$2:$F$26,O21,$Q$2:$Q$26,"Cursada aprobada")&gt;0))),O21&amp;" ","")&amp;IF(NOT(OR(P21="",COUNTIF($F$2:$F$26,P21)=0,COUNTIFS($F$2:$F$26,P21,$Q$2:$Q$26,"Aprobada")&gt;0,AND(Resumen!$B$15="La cursada aprobada",COUNTIFS($F$2:$F$26,P21,$Q$2:$Q$26,"Cursada aprobada")&gt;0))),P21&amp;" ","")),""))</f>
        <v/>
      </c>
    </row>
    <row r="22" customFormat="false" ht="15" hidden="false" customHeight="false" outlineLevel="0" collapsed="false">
      <c r="A22" s="8" t="s">
        <v>240</v>
      </c>
      <c r="B22" s="8"/>
      <c r="C22" s="9" t="n">
        <v>3</v>
      </c>
      <c r="D22" s="9" t="s">
        <v>243</v>
      </c>
      <c r="E22" s="9" t="s">
        <v>69</v>
      </c>
      <c r="F22" s="9" t="n">
        <v>1109</v>
      </c>
      <c r="G22" s="8" t="s">
        <v>297</v>
      </c>
      <c r="H22" s="9" t="s">
        <v>92</v>
      </c>
      <c r="I22" s="9" t="n">
        <v>4</v>
      </c>
      <c r="J22" s="9"/>
      <c r="K22" s="9" t="n">
        <v>64</v>
      </c>
      <c r="L22" s="9" t="n">
        <v>1090</v>
      </c>
      <c r="M22" s="9" t="n">
        <v>1094</v>
      </c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cursada",IF(AND(OR(L22="",COUNTIF($F$2:$F$26,L22)=0,COUNTIFS($F$2:$F$26,L22,$Q$2:$Q$26,"Aprobada")&gt;0,AND(Resumen!$B$15="La cursada aprobada",COUNTIFS($F$2:$F$26,L22,$Q$2:$Q$26,"Cursada aprobada")&gt;0)),OR(M22="",COUNTIF($F$2:$F$26,M22)=0,COUNTIFS($F$2:$F$26,M22,$Q$2:$Q$26,"Aprobada")&gt;0,AND(Resumen!$B$15="La cursada aprobada",COUNTIFS($F$2:$F$26,M22,$Q$2:$Q$26,"Cursada aprobada")&gt;0)),OR(N22="",COUNTIF($F$2:$F$26,N22)=0,COUNTIFS($F$2:$F$26,N22,$Q$2:$Q$26,"Aprobada")&gt;0,AND(Resumen!$B$15="La cursada aprobada",COUNTIFS($F$2:$F$26,N22,$Q$2:$Q$26,"Cursada aprobada")&gt;0)),OR(O22="",COUNTIF($F$2:$F$26,O22)=0,COUNTIFS($F$2:$F$26,O22,$Q$2:$Q$26,"Aprobada")&gt;0,AND(Resumen!$B$15="La cursada aprobada",COUNTIFS($F$2:$F$26,O22,$Q$2:$Q$26,"Cursada aprobada")&gt;0)),OR(P22="",COUNTIF($F$2:$F$26,P22)=0,COUNTIFS($F$2:$F$26,P22,$Q$2:$Q$26,"Aprobada")&gt;0,AND(Resumen!$B$15="La cursada aprobada",COUNTIFS($F$2:$F$26,P22,$Q$2:$Q$26,"Cursada aprobada")&gt;0))),"Sí","No")))</f>
        <v>No</v>
      </c>
      <c r="S22" s="8" t="str">
        <f aca="false">TRIM(IF(NOT(OR(L22="",COUNTIF($F$2:$F$26,L22)=0,COUNTIFS($F$2:$F$26,L22,$Q$2:$Q$26,"Aprobada")&gt;0,AND(Resumen!$B$15="La cursada aprobada",COUNTIFS($F$2:$F$26,L22,$Q$2:$Q$26,"Cursada aprobada")&gt;0))),L22&amp;" ","")&amp;IF(NOT(OR(M22="",COUNTIF($F$2:$F$26,M22)=0,COUNTIFS($F$2:$F$26,M22,$Q$2:$Q$26,"Aprobada")&gt;0,AND(Resumen!$B$15="La cursada aprobada",COUNTIFS($F$2:$F$26,M22,$Q$2:$Q$26,"Cursada aprobada")&gt;0))),M22&amp;" ","")&amp;IF(NOT(OR(N22="",COUNTIF($F$2:$F$26,N22)=0,COUNTIFS($F$2:$F$26,N22,$Q$2:$Q$26,"Aprobada")&gt;0,AND(Resumen!$B$15="La cursada aprobada",COUNTIFS($F$2:$F$26,N22,$Q$2:$Q$26,"Cursada aprobada")&gt;0))),N22&amp;" ","")&amp;IF(NOT(OR(O22="",COUNTIF($F$2:$F$26,O22)=0,COUNTIFS($F$2:$F$26,O22,$Q$2:$Q$26,"Aprobada")&gt;0,AND(Resumen!$B$15="La cursada aprobada",COUNTIFS($F$2:$F$26,O22,$Q$2:$Q$26,"Cursada aprobada")&gt;0))),O22&amp;" ","")&amp;IF(NOT(OR(P22="",COUNTIF($F$2:$F$26,P22)=0,COUNTIFS($F$2:$F$26,P22,$Q$2:$Q$26,"Aprobada")&gt;0,AND(Resumen!$B$15="La cursada aprobada",COUNTIFS($F$2:$F$26,P22,$Q$2:$Q$26,"Cursada aprobada")&gt;0))),P22&amp;" ",""))</f>
        <v>1090 1094</v>
      </c>
      <c r="T22" s="9" t="str">
        <f aca="false">IF(Q22="Cursada aprobada",IF(AND(OR(L22="",COUNTIF($F$2:$F$26,L22)=0,COUNTIFS($F$2:$F$26,L22,$Q$2:$Q$26,"Aprobada")&gt;0),OR(M22="",COUNTIF($F$2:$F$26,M22)=0,COUNTIFS($F$2:$F$26,M22,$Q$2:$Q$26,"Aprobada")&gt;0),OR(N22="",COUNTIF($F$2:$F$26,N22)=0,COUNTIFS($F$2:$F$26,N22,$Q$2:$Q$26,"Aprobada")&gt;0),OR(O22="",COUNTIF($F$2:$F$26,O22)=0,COUNTIFS($F$2:$F$26,O22,$Q$2:$Q$26,"Aprobada")&gt;0),OR(P22="",COUNTIF($F$2:$F$26,P22)=0,COUNTIFS($F$2:$F$26,P22,$Q$2:$Q$26,"Aprobada")&gt;0)),"Sí","No"),"")</f>
        <v/>
      </c>
      <c r="U22" s="9" t="str">
        <f aca="false">IF(Q22="Aprobada",TRIM(IF(NOT(OR(L22="",COUNTIF($F$2:$F$26,L22)=0,COUNTIFS($F$2:$F$26,L22,$Q$2:$Q$26,"Aprobada")&gt;0)),L22&amp;" ","")&amp;IF(NOT(OR(M22="",COUNTIF($F$2:$F$26,M22)=0,COUNTIFS($F$2:$F$26,M22,$Q$2:$Q$26,"Aprobada")&gt;0)),M22&amp;" ","")&amp;IF(NOT(OR(N22="",COUNTIF($F$2:$F$26,N22)=0,COUNTIFS($F$2:$F$26,N22,$Q$2:$Q$26,"Aprobada")&gt;0)),N22&amp;" ","")&amp;IF(NOT(OR(O22="",COUNTIF($F$2:$F$26,O22)=0,COUNTIFS($F$2:$F$26,O22,$Q$2:$Q$26,"Aprobada")&gt;0)),O22&amp;" ","")&amp;IF(NOT(OR(P22="",COUNTIF($F$2:$F$26,P22)=0,COUNTIFS($F$2:$F$26,P22,$Q$2:$Q$26,"Aprobada")&gt;0)),P22&amp;" ","")),IF(Q22="Cursada aprobada",TRIM(IF(NOT(OR(L22="",COUNTIF($F$2:$F$26,L22)=0,COUNTIFS($F$2:$F$26,L22,$Q$2:$Q$26,"Aprobada")&gt;0,AND(Resumen!$B$15="La cursada aprobada",COUNTIFS($F$2:$F$26,L22,$Q$2:$Q$26,"Cursada aprobada")&gt;0))),L22&amp;" ","")&amp;IF(NOT(OR(M22="",COUNTIF($F$2:$F$26,M22)=0,COUNTIFS($F$2:$F$26,M22,$Q$2:$Q$26,"Aprobada")&gt;0,AND(Resumen!$B$15="La cursada aprobada",COUNTIFS($F$2:$F$26,M22,$Q$2:$Q$26,"Cursada aprobada")&gt;0))),M22&amp;" ","")&amp;IF(NOT(OR(N22="",COUNTIF($F$2:$F$26,N22)=0,COUNTIFS($F$2:$F$26,N22,$Q$2:$Q$26,"Aprobada")&gt;0,AND(Resumen!$B$15="La cursada aprobada",COUNTIFS($F$2:$F$26,N22,$Q$2:$Q$26,"Cursada aprobada")&gt;0))),N22&amp;" ","")&amp;IF(NOT(OR(O22="",COUNTIF($F$2:$F$26,O22)=0,COUNTIFS($F$2:$F$26,O22,$Q$2:$Q$26,"Aprobada")&gt;0,AND(Resumen!$B$15="La cursada aprobada",COUNTIFS($F$2:$F$26,O22,$Q$2:$Q$26,"Cursada aprobada")&gt;0))),O22&amp;" ","")&amp;IF(NOT(OR(P22="",COUNTIF($F$2:$F$26,P22)=0,COUNTIFS($F$2:$F$26,P22,$Q$2:$Q$26,"Aprobada")&gt;0,AND(Resumen!$B$15="La cursada aprobada",COUNTIFS($F$2:$F$26,P22,$Q$2:$Q$26,"Cursada aprobada")&gt;0))),P22&amp;" ","")),""))</f>
        <v/>
      </c>
    </row>
    <row r="23" customFormat="false" ht="15" hidden="false" customHeight="false" outlineLevel="0" collapsed="false">
      <c r="A23" s="8" t="s">
        <v>240</v>
      </c>
      <c r="B23" s="8"/>
      <c r="C23" s="9" t="n">
        <v>3</v>
      </c>
      <c r="D23" s="9" t="s">
        <v>243</v>
      </c>
      <c r="E23" s="9" t="s">
        <v>69</v>
      </c>
      <c r="F23" s="9" t="n">
        <v>1101</v>
      </c>
      <c r="G23" s="8" t="s">
        <v>298</v>
      </c>
      <c r="H23" s="9" t="s">
        <v>92</v>
      </c>
      <c r="I23" s="9" t="n">
        <v>4</v>
      </c>
      <c r="J23" s="9"/>
      <c r="K23" s="9" t="n">
        <v>64</v>
      </c>
      <c r="L23" s="9" t="n">
        <v>1098</v>
      </c>
      <c r="M23" s="9" t="n">
        <v>1105</v>
      </c>
      <c r="N23" s="9" t="n">
        <v>1090</v>
      </c>
      <c r="O23" s="9"/>
      <c r="P23" s="9"/>
      <c r="Q23" s="10" t="s">
        <v>62</v>
      </c>
      <c r="R23" s="9" t="str">
        <f aca="false">IF(Q23="Aprobada","Ya aprobada",IF(Q23="Cursada aprobada","Ya cursada",IF(AND(OR(L23="",COUNTIF($F$2:$F$26,L23)=0,COUNTIFS($F$2:$F$26,L23,$Q$2:$Q$26,"Aprobada")&gt;0,AND(Resumen!$B$15="La cursada aprobada",COUNTIFS($F$2:$F$26,L23,$Q$2:$Q$26,"Cursada aprobada")&gt;0)),OR(M23="",COUNTIF($F$2:$F$26,M23)=0,COUNTIFS($F$2:$F$26,M23,$Q$2:$Q$26,"Aprobada")&gt;0,AND(Resumen!$B$15="La cursada aprobada",COUNTIFS($F$2:$F$26,M23,$Q$2:$Q$26,"Cursada aprobada")&gt;0)),OR(N23="",COUNTIF($F$2:$F$26,N23)=0,COUNTIFS($F$2:$F$26,N23,$Q$2:$Q$26,"Aprobada")&gt;0,AND(Resumen!$B$15="La cursada aprobada",COUNTIFS($F$2:$F$26,N23,$Q$2:$Q$26,"Cursada aprobada")&gt;0)),OR(O23="",COUNTIF($F$2:$F$26,O23)=0,COUNTIFS($F$2:$F$26,O23,$Q$2:$Q$26,"Aprobada")&gt;0,AND(Resumen!$B$15="La cursada aprobada",COUNTIFS($F$2:$F$26,O23,$Q$2:$Q$26,"Cursada aprobada")&gt;0)),OR(P23="",COUNTIF($F$2:$F$26,P23)=0,COUNTIFS($F$2:$F$26,P23,$Q$2:$Q$26,"Aprobada")&gt;0,AND(Resumen!$B$15="La cursada aprobada",COUNTIFS($F$2:$F$26,P23,$Q$2:$Q$26,"Cursada aprobada")&gt;0))),"Sí","No")))</f>
        <v>No</v>
      </c>
      <c r="S23" s="8" t="str">
        <f aca="false">TRIM(IF(NOT(OR(L23="",COUNTIF($F$2:$F$26,L23)=0,COUNTIFS($F$2:$F$26,L23,$Q$2:$Q$26,"Aprobada")&gt;0,AND(Resumen!$B$15="La cursada aprobada",COUNTIFS($F$2:$F$26,L23,$Q$2:$Q$26,"Cursada aprobada")&gt;0))),L23&amp;" ","")&amp;IF(NOT(OR(M23="",COUNTIF($F$2:$F$26,M23)=0,COUNTIFS($F$2:$F$26,M23,$Q$2:$Q$26,"Aprobada")&gt;0,AND(Resumen!$B$15="La cursada aprobada",COUNTIFS($F$2:$F$26,M23,$Q$2:$Q$26,"Cursada aprobada")&gt;0))),M23&amp;" ","")&amp;IF(NOT(OR(N23="",COUNTIF($F$2:$F$26,N23)=0,COUNTIFS($F$2:$F$26,N23,$Q$2:$Q$26,"Aprobada")&gt;0,AND(Resumen!$B$15="La cursada aprobada",COUNTIFS($F$2:$F$26,N23,$Q$2:$Q$26,"Cursada aprobada")&gt;0))),N23&amp;" ","")&amp;IF(NOT(OR(O23="",COUNTIF($F$2:$F$26,O23)=0,COUNTIFS($F$2:$F$26,O23,$Q$2:$Q$26,"Aprobada")&gt;0,AND(Resumen!$B$15="La cursada aprobada",COUNTIFS($F$2:$F$26,O23,$Q$2:$Q$26,"Cursada aprobada")&gt;0))),O23&amp;" ","")&amp;IF(NOT(OR(P23="",COUNTIF($F$2:$F$26,P23)=0,COUNTIFS($F$2:$F$26,P23,$Q$2:$Q$26,"Aprobada")&gt;0,AND(Resumen!$B$15="La cursada aprobada",COUNTIFS($F$2:$F$26,P23,$Q$2:$Q$26,"Cursada aprobada")&gt;0))),P23&amp;" ",""))</f>
        <v>1098 1105 1090</v>
      </c>
      <c r="T23" s="9" t="str">
        <f aca="false">IF(Q23="Cursada aprobada",IF(AND(OR(L23="",COUNTIF($F$2:$F$26,L23)=0,COUNTIFS($F$2:$F$26,L23,$Q$2:$Q$26,"Aprobada")&gt;0),OR(M23="",COUNTIF($F$2:$F$26,M23)=0,COUNTIFS($F$2:$F$26,M23,$Q$2:$Q$26,"Aprobada")&gt;0),OR(N23="",COUNTIF($F$2:$F$26,N23)=0,COUNTIFS($F$2:$F$26,N23,$Q$2:$Q$26,"Aprobada")&gt;0),OR(O23="",COUNTIF($F$2:$F$26,O23)=0,COUNTIFS($F$2:$F$26,O23,$Q$2:$Q$26,"Aprobada")&gt;0),OR(P23="",COUNTIF($F$2:$F$26,P23)=0,COUNTIFS($F$2:$F$26,P23,$Q$2:$Q$26,"Aprobada")&gt;0)),"Sí","No"),"")</f>
        <v/>
      </c>
      <c r="U23" s="9" t="str">
        <f aca="false">IF(Q23="Aprobada",TRIM(IF(NOT(OR(L23="",COUNTIF($F$2:$F$26,L23)=0,COUNTIFS($F$2:$F$26,L23,$Q$2:$Q$26,"Aprobada")&gt;0)),L23&amp;" ","")&amp;IF(NOT(OR(M23="",COUNTIF($F$2:$F$26,M23)=0,COUNTIFS($F$2:$F$26,M23,$Q$2:$Q$26,"Aprobada")&gt;0)),M23&amp;" ","")&amp;IF(NOT(OR(N23="",COUNTIF($F$2:$F$26,N23)=0,COUNTIFS($F$2:$F$26,N23,$Q$2:$Q$26,"Aprobada")&gt;0)),N23&amp;" ","")&amp;IF(NOT(OR(O23="",COUNTIF($F$2:$F$26,O23)=0,COUNTIFS($F$2:$F$26,O23,$Q$2:$Q$26,"Aprobada")&gt;0)),O23&amp;" ","")&amp;IF(NOT(OR(P23="",COUNTIF($F$2:$F$26,P23)=0,COUNTIFS($F$2:$F$26,P23,$Q$2:$Q$26,"Aprobada")&gt;0)),P23&amp;" ","")),IF(Q23="Cursada aprobada",TRIM(IF(NOT(OR(L23="",COUNTIF($F$2:$F$26,L23)=0,COUNTIFS($F$2:$F$26,L23,$Q$2:$Q$26,"Aprobada")&gt;0,AND(Resumen!$B$15="La cursada aprobada",COUNTIFS($F$2:$F$26,L23,$Q$2:$Q$26,"Cursada aprobada")&gt;0))),L23&amp;" ","")&amp;IF(NOT(OR(M23="",COUNTIF($F$2:$F$26,M23)=0,COUNTIFS($F$2:$F$26,M23,$Q$2:$Q$26,"Aprobada")&gt;0,AND(Resumen!$B$15="La cursada aprobada",COUNTIFS($F$2:$F$26,M23,$Q$2:$Q$26,"Cursada aprobada")&gt;0))),M23&amp;" ","")&amp;IF(NOT(OR(N23="",COUNTIF($F$2:$F$26,N23)=0,COUNTIFS($F$2:$F$26,N23,$Q$2:$Q$26,"Aprobada")&gt;0,AND(Resumen!$B$15="La cursada aprobada",COUNTIFS($F$2:$F$26,N23,$Q$2:$Q$26,"Cursada aprobada")&gt;0))),N23&amp;" ","")&amp;IF(NOT(OR(O23="",COUNTIF($F$2:$F$26,O23)=0,COUNTIFS($F$2:$F$26,O23,$Q$2:$Q$26,"Aprobada")&gt;0,AND(Resumen!$B$15="La cursada aprobada",COUNTIFS($F$2:$F$26,O23,$Q$2:$Q$26,"Cursada aprobada")&gt;0))),O23&amp;" ","")&amp;IF(NOT(OR(P23="",COUNTIF($F$2:$F$26,P23)=0,COUNTIFS($F$2:$F$26,P23,$Q$2:$Q$26,"Aprobada")&gt;0,AND(Resumen!$B$15="La cursada aprobada",COUNTIFS($F$2:$F$26,P23,$Q$2:$Q$26,"Cursada aprobada")&gt;0))),P23&amp;" ","")),""))</f>
        <v/>
      </c>
    </row>
    <row r="24" customFormat="false" ht="15" hidden="false" customHeight="false" outlineLevel="0" collapsed="false">
      <c r="A24" s="8" t="s">
        <v>240</v>
      </c>
      <c r="B24" s="8"/>
      <c r="C24" s="9" t="n">
        <v>3</v>
      </c>
      <c r="D24" s="9" t="s">
        <v>243</v>
      </c>
      <c r="E24" s="9" t="s">
        <v>69</v>
      </c>
      <c r="F24" s="9" t="n">
        <v>1102</v>
      </c>
      <c r="G24" s="8" t="s">
        <v>267</v>
      </c>
      <c r="H24" s="9" t="s">
        <v>92</v>
      </c>
      <c r="I24" s="9" t="n">
        <v>6</v>
      </c>
      <c r="J24" s="9"/>
      <c r="K24" s="9" t="n">
        <v>96</v>
      </c>
      <c r="L24" s="9" t="n">
        <v>1090</v>
      </c>
      <c r="M24" s="9" t="n">
        <v>1095</v>
      </c>
      <c r="N24" s="9" t="n">
        <v>1096</v>
      </c>
      <c r="O24" s="9" t="n">
        <v>1097</v>
      </c>
      <c r="P24" s="9" t="n">
        <v>1098</v>
      </c>
      <c r="Q24" s="10" t="s">
        <v>62</v>
      </c>
      <c r="R24" s="9" t="str">
        <f aca="false">IF(Q24="Aprobada","Ya aprobada",IF(Q24="Cursada aprobada","Ya cursada",IF(AND(OR(L24="",COUNTIF($F$2:$F$26,L24)=0,COUNTIFS($F$2:$F$26,L24,$Q$2:$Q$26,"Aprobada")&gt;0,AND(Resumen!$B$15="La cursada aprobada",COUNTIFS($F$2:$F$26,L24,$Q$2:$Q$26,"Cursada aprobada")&gt;0)),OR(M24="",COUNTIF($F$2:$F$26,M24)=0,COUNTIFS($F$2:$F$26,M24,$Q$2:$Q$26,"Aprobada")&gt;0,AND(Resumen!$B$15="La cursada aprobada",COUNTIFS($F$2:$F$26,M24,$Q$2:$Q$26,"Cursada aprobada")&gt;0)),OR(N24="",COUNTIF($F$2:$F$26,N24)=0,COUNTIFS($F$2:$F$26,N24,$Q$2:$Q$26,"Aprobada")&gt;0,AND(Resumen!$B$15="La cursada aprobada",COUNTIFS($F$2:$F$26,N24,$Q$2:$Q$26,"Cursada aprobada")&gt;0)),OR(O24="",COUNTIF($F$2:$F$26,O24)=0,COUNTIFS($F$2:$F$26,O24,$Q$2:$Q$26,"Aprobada")&gt;0,AND(Resumen!$B$15="La cursada aprobada",COUNTIFS($F$2:$F$26,O24,$Q$2:$Q$26,"Cursada aprobada")&gt;0)),OR(P24="",COUNTIF($F$2:$F$26,P24)=0,COUNTIFS($F$2:$F$26,P24,$Q$2:$Q$26,"Aprobada")&gt;0,AND(Resumen!$B$15="La cursada aprobada",COUNTIFS($F$2:$F$26,P24,$Q$2:$Q$26,"Cursada aprobada")&gt;0))),"Sí","No")))</f>
        <v>No</v>
      </c>
      <c r="S24" s="8" t="str">
        <f aca="false">TRIM(IF(NOT(OR(L24="",COUNTIF($F$2:$F$26,L24)=0,COUNTIFS($F$2:$F$26,L24,$Q$2:$Q$26,"Aprobada")&gt;0,AND(Resumen!$B$15="La cursada aprobada",COUNTIFS($F$2:$F$26,L24,$Q$2:$Q$26,"Cursada aprobada")&gt;0))),L24&amp;" ","")&amp;IF(NOT(OR(M24="",COUNTIF($F$2:$F$26,M24)=0,COUNTIFS($F$2:$F$26,M24,$Q$2:$Q$26,"Aprobada")&gt;0,AND(Resumen!$B$15="La cursada aprobada",COUNTIFS($F$2:$F$26,M24,$Q$2:$Q$26,"Cursada aprobada")&gt;0))),M24&amp;" ","")&amp;IF(NOT(OR(N24="",COUNTIF($F$2:$F$26,N24)=0,COUNTIFS($F$2:$F$26,N24,$Q$2:$Q$26,"Aprobada")&gt;0,AND(Resumen!$B$15="La cursada aprobada",COUNTIFS($F$2:$F$26,N24,$Q$2:$Q$26,"Cursada aprobada")&gt;0))),N24&amp;" ","")&amp;IF(NOT(OR(O24="",COUNTIF($F$2:$F$26,O24)=0,COUNTIFS($F$2:$F$26,O24,$Q$2:$Q$26,"Aprobada")&gt;0,AND(Resumen!$B$15="La cursada aprobada",COUNTIFS($F$2:$F$26,O24,$Q$2:$Q$26,"Cursada aprobada")&gt;0))),O24&amp;" ","")&amp;IF(NOT(OR(P24="",COUNTIF($F$2:$F$26,P24)=0,COUNTIFS($F$2:$F$26,P24,$Q$2:$Q$26,"Aprobada")&gt;0,AND(Resumen!$B$15="La cursada aprobada",COUNTIFS($F$2:$F$26,P24,$Q$2:$Q$26,"Cursada aprobada")&gt;0))),P24&amp;" ",""))</f>
        <v>1090 1095 1096 1097 1098</v>
      </c>
      <c r="T24" s="9" t="str">
        <f aca="false">IF(Q24="Cursada aprobada",IF(AND(OR(L24="",COUNTIF($F$2:$F$26,L24)=0,COUNTIFS($F$2:$F$26,L24,$Q$2:$Q$26,"Aprobada")&gt;0),OR(M24="",COUNTIF($F$2:$F$26,M24)=0,COUNTIFS($F$2:$F$26,M24,$Q$2:$Q$26,"Aprobada")&gt;0),OR(N24="",COUNTIF($F$2:$F$26,N24)=0,COUNTIFS($F$2:$F$26,N24,$Q$2:$Q$26,"Aprobada")&gt;0),OR(O24="",COUNTIF($F$2:$F$26,O24)=0,COUNTIFS($F$2:$F$26,O24,$Q$2:$Q$26,"Aprobada")&gt;0),OR(P24="",COUNTIF($F$2:$F$26,P24)=0,COUNTIFS($F$2:$F$26,P24,$Q$2:$Q$26,"Aprobada")&gt;0)),"Sí","No"),"")</f>
        <v/>
      </c>
      <c r="U24" s="9" t="str">
        <f aca="false">IF(Q24="Aprobada",TRIM(IF(NOT(OR(L24="",COUNTIF($F$2:$F$26,L24)=0,COUNTIFS($F$2:$F$26,L24,$Q$2:$Q$26,"Aprobada")&gt;0)),L24&amp;" ","")&amp;IF(NOT(OR(M24="",COUNTIF($F$2:$F$26,M24)=0,COUNTIFS($F$2:$F$26,M24,$Q$2:$Q$26,"Aprobada")&gt;0)),M24&amp;" ","")&amp;IF(NOT(OR(N24="",COUNTIF($F$2:$F$26,N24)=0,COUNTIFS($F$2:$F$26,N24,$Q$2:$Q$26,"Aprobada")&gt;0)),N24&amp;" ","")&amp;IF(NOT(OR(O24="",COUNTIF($F$2:$F$26,O24)=0,COUNTIFS($F$2:$F$26,O24,$Q$2:$Q$26,"Aprobada")&gt;0)),O24&amp;" ","")&amp;IF(NOT(OR(P24="",COUNTIF($F$2:$F$26,P24)=0,COUNTIFS($F$2:$F$26,P24,$Q$2:$Q$26,"Aprobada")&gt;0)),P24&amp;" ","")),IF(Q24="Cursada aprobada",TRIM(IF(NOT(OR(L24="",COUNTIF($F$2:$F$26,L24)=0,COUNTIFS($F$2:$F$26,L24,$Q$2:$Q$26,"Aprobada")&gt;0,AND(Resumen!$B$15="La cursada aprobada",COUNTIFS($F$2:$F$26,L24,$Q$2:$Q$26,"Cursada aprobada")&gt;0))),L24&amp;" ","")&amp;IF(NOT(OR(M24="",COUNTIF($F$2:$F$26,M24)=0,COUNTIFS($F$2:$F$26,M24,$Q$2:$Q$26,"Aprobada")&gt;0,AND(Resumen!$B$15="La cursada aprobada",COUNTIFS($F$2:$F$26,M24,$Q$2:$Q$26,"Cursada aprobada")&gt;0))),M24&amp;" ","")&amp;IF(NOT(OR(N24="",COUNTIF($F$2:$F$26,N24)=0,COUNTIFS($F$2:$F$26,N24,$Q$2:$Q$26,"Aprobada")&gt;0,AND(Resumen!$B$15="La cursada aprobada",COUNTIFS($F$2:$F$26,N24,$Q$2:$Q$26,"Cursada aprobada")&gt;0))),N24&amp;" ","")&amp;IF(NOT(OR(O24="",COUNTIF($F$2:$F$26,O24)=0,COUNTIFS($F$2:$F$26,O24,$Q$2:$Q$26,"Aprobada")&gt;0,AND(Resumen!$B$15="La cursada aprobada",COUNTIFS($F$2:$F$26,O24,$Q$2:$Q$26,"Cursada aprobada")&gt;0))),O24&amp;" ","")&amp;IF(NOT(OR(P24="",COUNTIF($F$2:$F$26,P24)=0,COUNTIFS($F$2:$F$26,P24,$Q$2:$Q$26,"Aprobada")&gt;0,AND(Resumen!$B$15="La cursada aprobada",COUNTIFS($F$2:$F$26,P24,$Q$2:$Q$26,"Cursada aprobada")&gt;0))),P24&amp;" ","")),""))</f>
        <v/>
      </c>
    </row>
    <row r="25" customFormat="false" ht="15" hidden="false" customHeight="false" outlineLevel="0" collapsed="false">
      <c r="A25" s="8" t="s">
        <v>116</v>
      </c>
      <c r="B25" s="8"/>
      <c r="C25" s="9"/>
      <c r="D25" s="9"/>
      <c r="E25" s="9" t="s">
        <v>99</v>
      </c>
      <c r="F25" s="9" t="n">
        <v>598</v>
      </c>
      <c r="G25" s="8" t="s">
        <v>117</v>
      </c>
      <c r="H25" s="9"/>
      <c r="I25" s="9" t="n">
        <v>4</v>
      </c>
      <c r="J25" s="9"/>
      <c r="K25" s="9" t="n">
        <v>64</v>
      </c>
      <c r="L25" s="9"/>
      <c r="M25" s="9"/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cursada",IF(AND(OR(L25="",COUNTIF($F$2:$F$26,L25)=0,COUNTIFS($F$2:$F$26,L25,$Q$2:$Q$26,"Aprobada")&gt;0,AND(Resumen!$B$15="La cursada aprobada",COUNTIFS($F$2:$F$26,L25,$Q$2:$Q$26,"Cursada aprobada")&gt;0)),OR(M25="",COUNTIF($F$2:$F$26,M25)=0,COUNTIFS($F$2:$F$26,M25,$Q$2:$Q$26,"Aprobada")&gt;0,AND(Resumen!$B$15="La cursada aprobada",COUNTIFS($F$2:$F$26,M25,$Q$2:$Q$26,"Cursada aprobada")&gt;0)),OR(N25="",COUNTIF($F$2:$F$26,N25)=0,COUNTIFS($F$2:$F$26,N25,$Q$2:$Q$26,"Aprobada")&gt;0,AND(Resumen!$B$15="La cursada aprobada",COUNTIFS($F$2:$F$26,N25,$Q$2:$Q$26,"Cursada aprobada")&gt;0)),OR(O25="",COUNTIF($F$2:$F$26,O25)=0,COUNTIFS($F$2:$F$26,O25,$Q$2:$Q$26,"Aprobada")&gt;0,AND(Resumen!$B$15="La cursada aprobada",COUNTIFS($F$2:$F$26,O25,$Q$2:$Q$26,"Cursada aprobada")&gt;0)),OR(P25="",COUNTIF($F$2:$F$26,P25)=0,COUNTIFS($F$2:$F$26,P25,$Q$2:$Q$26,"Aprobada")&gt;0,AND(Resumen!$B$15="La cursada aprobada",COUNTIFS($F$2:$F$26,P25,$Q$2:$Q$26,"Cursada aprobada")&gt;0))),"Sí","No")))</f>
        <v>Sí</v>
      </c>
      <c r="S25" s="8" t="str">
        <f aca="false">TRIM(IF(NOT(OR(L25="",COUNTIF($F$2:$F$26,L25)=0,COUNTIFS($F$2:$F$26,L25,$Q$2:$Q$26,"Aprobada")&gt;0,AND(Resumen!$B$15="La cursada aprobada",COUNTIFS($F$2:$F$26,L25,$Q$2:$Q$26,"Cursada aprobada")&gt;0))),L25&amp;" ","")&amp;IF(NOT(OR(M25="",COUNTIF($F$2:$F$26,M25)=0,COUNTIFS($F$2:$F$26,M25,$Q$2:$Q$26,"Aprobada")&gt;0,AND(Resumen!$B$15="La cursada aprobada",COUNTIFS($F$2:$F$26,M25,$Q$2:$Q$26,"Cursada aprobada")&gt;0))),M25&amp;" ","")&amp;IF(NOT(OR(N25="",COUNTIF($F$2:$F$26,N25)=0,COUNTIFS($F$2:$F$26,N25,$Q$2:$Q$26,"Aprobada")&gt;0,AND(Resumen!$B$15="La cursada aprobada",COUNTIFS($F$2:$F$26,N25,$Q$2:$Q$26,"Cursada aprobada")&gt;0))),N25&amp;" ","")&amp;IF(NOT(OR(O25="",COUNTIF($F$2:$F$26,O25)=0,COUNTIFS($F$2:$F$26,O25,$Q$2:$Q$26,"Aprobada")&gt;0,AND(Resumen!$B$15="La cursada aprobada",COUNTIFS($F$2:$F$26,O25,$Q$2:$Q$26,"Cursada aprobada")&gt;0))),O25&amp;" ","")&amp;IF(NOT(OR(P25="",COUNTIF($F$2:$F$26,P25)=0,COUNTIFS($F$2:$F$26,P25,$Q$2:$Q$26,"Aprobada")&gt;0,AND(Resumen!$B$15="La cursada aprobada",COUNTIFS($F$2:$F$26,P25,$Q$2:$Q$26,"Cursada aprobada")&gt;0))),P25&amp;" ",""))</f>
        <v/>
      </c>
      <c r="T25" s="9" t="str">
        <f aca="false">IF(Q25="Cursada aprobada",IF(AND(OR(L25="",COUNTIF($F$2:$F$26,L25)=0,COUNTIFS($F$2:$F$26,L25,$Q$2:$Q$26,"Aprobada")&gt;0),OR(M25="",COUNTIF($F$2:$F$26,M25)=0,COUNTIFS($F$2:$F$26,M25,$Q$2:$Q$26,"Aprobada")&gt;0),OR(N25="",COUNTIF($F$2:$F$26,N25)=0,COUNTIFS($F$2:$F$26,N25,$Q$2:$Q$26,"Aprobada")&gt;0),OR(O25="",COUNTIF($F$2:$F$26,O25)=0,COUNTIFS($F$2:$F$26,O25,$Q$2:$Q$26,"Aprobada")&gt;0),OR(P25="",COUNTIF($F$2:$F$26,P25)=0,COUNTIFS($F$2:$F$26,P25,$Q$2:$Q$26,"Aprobada")&gt;0)),"Sí","No"),"")</f>
        <v/>
      </c>
      <c r="U25" s="9" t="str">
        <f aca="false">IF(Q25="Aprobada",TRIM(IF(NOT(OR(L25="",COUNTIF($F$2:$F$26,L25)=0,COUNTIFS($F$2:$F$26,L25,$Q$2:$Q$26,"Aprobada")&gt;0)),L25&amp;" ","")&amp;IF(NOT(OR(M25="",COUNTIF($F$2:$F$26,M25)=0,COUNTIFS($F$2:$F$26,M25,$Q$2:$Q$26,"Aprobada")&gt;0)),M25&amp;" ","")&amp;IF(NOT(OR(N25="",COUNTIF($F$2:$F$26,N25)=0,COUNTIFS($F$2:$F$26,N25,$Q$2:$Q$26,"Aprobada")&gt;0)),N25&amp;" ","")&amp;IF(NOT(OR(O25="",COUNTIF($F$2:$F$26,O25)=0,COUNTIFS($F$2:$F$26,O25,$Q$2:$Q$26,"Aprobada")&gt;0)),O25&amp;" ","")&amp;IF(NOT(OR(P25="",COUNTIF($F$2:$F$26,P25)=0,COUNTIFS($F$2:$F$26,P25,$Q$2:$Q$26,"Aprobada")&gt;0)),P25&amp;" ","")),IF(Q25="Cursada aprobada",TRIM(IF(NOT(OR(L25="",COUNTIF($F$2:$F$26,L25)=0,COUNTIFS($F$2:$F$26,L25,$Q$2:$Q$26,"Aprobada")&gt;0,AND(Resumen!$B$15="La cursada aprobada",COUNTIFS($F$2:$F$26,L25,$Q$2:$Q$26,"Cursada aprobada")&gt;0))),L25&amp;" ","")&amp;IF(NOT(OR(M25="",COUNTIF($F$2:$F$26,M25)=0,COUNTIFS($F$2:$F$26,M25,$Q$2:$Q$26,"Aprobada")&gt;0,AND(Resumen!$B$15="La cursada aprobada",COUNTIFS($F$2:$F$26,M25,$Q$2:$Q$26,"Cursada aprobada")&gt;0))),M25&amp;" ","")&amp;IF(NOT(OR(N25="",COUNTIF($F$2:$F$26,N25)=0,COUNTIFS($F$2:$F$26,N25,$Q$2:$Q$26,"Aprobada")&gt;0,AND(Resumen!$B$15="La cursada aprobada",COUNTIFS($F$2:$F$26,N25,$Q$2:$Q$26,"Cursada aprobada")&gt;0))),N25&amp;" ","")&amp;IF(NOT(OR(O25="",COUNTIF($F$2:$F$26,O25)=0,COUNTIFS($F$2:$F$26,O25,$Q$2:$Q$26,"Aprobada")&gt;0,AND(Resumen!$B$15="La cursada aprobada",COUNTIFS($F$2:$F$26,O25,$Q$2:$Q$26,"Cursada aprobada")&gt;0))),O25&amp;" ","")&amp;IF(NOT(OR(P25="",COUNTIF($F$2:$F$26,P25)=0,COUNTIFS($F$2:$F$26,P25,$Q$2:$Q$26,"Aprobada")&gt;0,AND(Resumen!$B$15="La cursada aprobada",COUNTIFS($F$2:$F$26,P25,$Q$2:$Q$26,"Cursada aprobada")&gt;0))),P25&amp;" ","")),""))</f>
        <v/>
      </c>
    </row>
    <row r="26" customFormat="false" ht="15" hidden="false" customHeight="false" outlineLevel="0" collapsed="false">
      <c r="A26" s="8" t="s">
        <v>116</v>
      </c>
      <c r="B26" s="8"/>
      <c r="C26" s="9"/>
      <c r="D26" s="9"/>
      <c r="E26" s="9" t="s">
        <v>122</v>
      </c>
      <c r="F26" s="9" t="n">
        <v>397</v>
      </c>
      <c r="G26" s="8" t="s">
        <v>299</v>
      </c>
      <c r="H26" s="9"/>
      <c r="I26" s="9"/>
      <c r="J26" s="9"/>
      <c r="K26" s="9" t="n">
        <v>50</v>
      </c>
      <c r="L26" s="9"/>
      <c r="M26" s="9"/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cursada",IF(AND(OR(L26="",COUNTIF($F$2:$F$26,L26)=0,COUNTIFS($F$2:$F$26,L26,$Q$2:$Q$26,"Aprobada")&gt;0,AND(Resumen!$B$15="La cursada aprobada",COUNTIFS($F$2:$F$26,L26,$Q$2:$Q$26,"Cursada aprobada")&gt;0)),OR(M26="",COUNTIF($F$2:$F$26,M26)=0,COUNTIFS($F$2:$F$26,M26,$Q$2:$Q$26,"Aprobada")&gt;0,AND(Resumen!$B$15="La cursada aprobada",COUNTIFS($F$2:$F$26,M26,$Q$2:$Q$26,"Cursada aprobada")&gt;0)),OR(N26="",COUNTIF($F$2:$F$26,N26)=0,COUNTIFS($F$2:$F$26,N26,$Q$2:$Q$26,"Aprobada")&gt;0,AND(Resumen!$B$15="La cursada aprobada",COUNTIFS($F$2:$F$26,N26,$Q$2:$Q$26,"Cursada aprobada")&gt;0)),OR(O26="",COUNTIF($F$2:$F$26,O26)=0,COUNTIFS($F$2:$F$26,O26,$Q$2:$Q$26,"Aprobada")&gt;0,AND(Resumen!$B$15="La cursada aprobada",COUNTIFS($F$2:$F$26,O26,$Q$2:$Q$26,"Cursada aprobada")&gt;0)),OR(P26="",COUNTIF($F$2:$F$26,P26)=0,COUNTIFS($F$2:$F$26,P26,$Q$2:$Q$26,"Aprobada")&gt;0,AND(Resumen!$B$15="La cursada aprobada",COUNTIFS($F$2:$F$26,P26,$Q$2:$Q$26,"Cursada aprobada")&gt;0))),"Sí","No")))</f>
        <v>Sí</v>
      </c>
      <c r="S26" s="8" t="str">
        <f aca="false">TRIM(IF(NOT(OR(L26="",COUNTIF($F$2:$F$26,L26)=0,COUNTIFS($F$2:$F$26,L26,$Q$2:$Q$26,"Aprobada")&gt;0,AND(Resumen!$B$15="La cursada aprobada",COUNTIFS($F$2:$F$26,L26,$Q$2:$Q$26,"Cursada aprobada")&gt;0))),L26&amp;" ","")&amp;IF(NOT(OR(M26="",COUNTIF($F$2:$F$26,M26)=0,COUNTIFS($F$2:$F$26,M26,$Q$2:$Q$26,"Aprobada")&gt;0,AND(Resumen!$B$15="La cursada aprobada",COUNTIFS($F$2:$F$26,M26,$Q$2:$Q$26,"Cursada aprobada")&gt;0))),M26&amp;" ","")&amp;IF(NOT(OR(N26="",COUNTIF($F$2:$F$26,N26)=0,COUNTIFS($F$2:$F$26,N26,$Q$2:$Q$26,"Aprobada")&gt;0,AND(Resumen!$B$15="La cursada aprobada",COUNTIFS($F$2:$F$26,N26,$Q$2:$Q$26,"Cursada aprobada")&gt;0))),N26&amp;" ","")&amp;IF(NOT(OR(O26="",COUNTIF($F$2:$F$26,O26)=0,COUNTIFS($F$2:$F$26,O26,$Q$2:$Q$26,"Aprobada")&gt;0,AND(Resumen!$B$15="La cursada aprobada",COUNTIFS($F$2:$F$26,O26,$Q$2:$Q$26,"Cursada aprobada")&gt;0))),O26&amp;" ","")&amp;IF(NOT(OR(P26="",COUNTIF($F$2:$F$26,P26)=0,COUNTIFS($F$2:$F$26,P26,$Q$2:$Q$26,"Aprobada")&gt;0,AND(Resumen!$B$15="La cursada aprobada",COUNTIFS($F$2:$F$26,P26,$Q$2:$Q$26,"Cursada aprobada")&gt;0))),P26&amp;" ",""))</f>
        <v/>
      </c>
      <c r="T26" s="9" t="str">
        <f aca="false">IF(Q26="Cursada aprobada",IF(AND(OR(L26="",COUNTIF($F$2:$F$26,L26)=0,COUNTIFS($F$2:$F$26,L26,$Q$2:$Q$26,"Aprobada")&gt;0),OR(M26="",COUNTIF($F$2:$F$26,M26)=0,COUNTIFS($F$2:$F$26,M26,$Q$2:$Q$26,"Aprobada")&gt;0),OR(N26="",COUNTIF($F$2:$F$26,N26)=0,COUNTIFS($F$2:$F$26,N26,$Q$2:$Q$26,"Aprobada")&gt;0),OR(O26="",COUNTIF($F$2:$F$26,O26)=0,COUNTIFS($F$2:$F$26,O26,$Q$2:$Q$26,"Aprobada")&gt;0),OR(P26="",COUNTIF($F$2:$F$26,P26)=0,COUNTIFS($F$2:$F$26,P26,$Q$2:$Q$26,"Aprobada")&gt;0)),"Sí","No"),"")</f>
        <v/>
      </c>
      <c r="U26" s="9" t="str">
        <f aca="false">IF(Q26="Aprobada",TRIM(IF(NOT(OR(L26="",COUNTIF($F$2:$F$26,L26)=0,COUNTIFS($F$2:$F$26,L26,$Q$2:$Q$26,"Aprobada")&gt;0)),L26&amp;" ","")&amp;IF(NOT(OR(M26="",COUNTIF($F$2:$F$26,M26)=0,COUNTIFS($F$2:$F$26,M26,$Q$2:$Q$26,"Aprobada")&gt;0)),M26&amp;" ","")&amp;IF(NOT(OR(N26="",COUNTIF($F$2:$F$26,N26)=0,COUNTIFS($F$2:$F$26,N26,$Q$2:$Q$26,"Aprobada")&gt;0)),N26&amp;" ","")&amp;IF(NOT(OR(O26="",COUNTIF($F$2:$F$26,O26)=0,COUNTIFS($F$2:$F$26,O26,$Q$2:$Q$26,"Aprobada")&gt;0)),O26&amp;" ","")&amp;IF(NOT(OR(P26="",COUNTIF($F$2:$F$26,P26)=0,COUNTIFS($F$2:$F$26,P26,$Q$2:$Q$26,"Aprobada")&gt;0)),P26&amp;" ","")),IF(Q26="Cursada aprobada",TRIM(IF(NOT(OR(L26="",COUNTIF($F$2:$F$26,L26)=0,COUNTIFS($F$2:$F$26,L26,$Q$2:$Q$26,"Aprobada")&gt;0,AND(Resumen!$B$15="La cursada aprobada",COUNTIFS($F$2:$F$26,L26,$Q$2:$Q$26,"Cursada aprobada")&gt;0))),L26&amp;" ","")&amp;IF(NOT(OR(M26="",COUNTIF($F$2:$F$26,M26)=0,COUNTIFS($F$2:$F$26,M26,$Q$2:$Q$26,"Aprobada")&gt;0,AND(Resumen!$B$15="La cursada aprobada",COUNTIFS($F$2:$F$26,M26,$Q$2:$Q$26,"Cursada aprobada")&gt;0))),M26&amp;" ","")&amp;IF(NOT(OR(N26="",COUNTIF($F$2:$F$26,N26)=0,COUNTIFS($F$2:$F$26,N26,$Q$2:$Q$26,"Aprobada")&gt;0,AND(Resumen!$B$15="La cursada aprobada",COUNTIFS($F$2:$F$26,N26,$Q$2:$Q$26,"Cursada aprobada")&gt;0))),N26&amp;" ","")&amp;IF(NOT(OR(O26="",COUNTIF($F$2:$F$26,O26)=0,COUNTIFS($F$2:$F$26,O26,$Q$2:$Q$26,"Aprobada")&gt;0,AND(Resumen!$B$15="La cursada aprobada",COUNTIFS($F$2:$F$26,O26,$Q$2:$Q$26,"Cursada aprobada")&gt;0))),O26&amp;" ","")&amp;IF(NOT(OR(P26="",COUNTIF($F$2:$F$26,P26)=0,COUNTIFS($F$2:$F$26,P26,$Q$2:$Q$26,"Aprobada")&gt;0,AND(Resumen!$B$15="La cursada aprobada",COUNTIFS($F$2:$F$26,P26,$Q$2:$Q$26,"Cursada aprobada")&gt;0))),P26&amp;" ","")),""))</f>
        <v/>
      </c>
    </row>
  </sheetData>
  <autoFilter ref="A1:U26"/>
  <conditionalFormatting sqref="Q2:Q26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26">
    <cfRule type="expression" priority="4" aboveAverage="0" equalAverage="0" bottom="0" percent="0" rank="0" text="" dxfId="10">
      <formula>LEN($U2)&gt;0</formula>
    </cfRule>
  </conditionalFormatting>
  <conditionalFormatting sqref="T2:T26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26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26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6" min="10" style="0" width="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15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</row>
    <row r="2" customFormat="false" ht="15" hidden="false" customHeight="false" outlineLevel="0" collapsed="false">
      <c r="A2" s="8" t="s">
        <v>236</v>
      </c>
      <c r="B2" s="8"/>
      <c r="C2" s="9" t="n">
        <v>1</v>
      </c>
      <c r="D2" s="9"/>
      <c r="E2" s="9" t="s">
        <v>99</v>
      </c>
      <c r="F2" s="9" t="n">
        <v>291</v>
      </c>
      <c r="G2" s="8" t="s">
        <v>237</v>
      </c>
      <c r="H2" s="9" t="s">
        <v>92</v>
      </c>
      <c r="I2" s="9" t="n">
        <v>1</v>
      </c>
      <c r="J2" s="9"/>
      <c r="K2" s="9" t="n">
        <v>16</v>
      </c>
      <c r="L2" s="9"/>
      <c r="M2" s="9"/>
      <c r="N2" s="9"/>
      <c r="O2" s="9"/>
      <c r="P2" s="9"/>
      <c r="Q2" s="10" t="s">
        <v>62</v>
      </c>
      <c r="R2" s="9" t="str">
        <f aca="false">IF(Q2="Aprobada","Ya aprobada",IF(Q2="Cursada aprobada","Ya cursada",IF(AND(OR(L2="",COUNTIF($F$2:$F$29,L2)=0,COUNTIFS($F$2:$F$29,L2,$Q$2:$Q$29,"Aprobada")&gt;0,AND(Resumen!$B$15="La cursada aprobada",COUNTIFS($F$2:$F$29,L2,$Q$2:$Q$29,"Cursada aprobada")&gt;0)),OR(M2="",COUNTIF($F$2:$F$29,M2)=0,COUNTIFS($F$2:$F$29,M2,$Q$2:$Q$29,"Aprobada")&gt;0,AND(Resumen!$B$15="La cursada aprobada",COUNTIFS($F$2:$F$29,M2,$Q$2:$Q$29,"Cursada aprobada")&gt;0)),OR(N2="",COUNTIF($F$2:$F$29,N2)=0,COUNTIFS($F$2:$F$29,N2,$Q$2:$Q$29,"Aprobada")&gt;0,AND(Resumen!$B$15="La cursada aprobada",COUNTIFS($F$2:$F$29,N2,$Q$2:$Q$29,"Cursada aprobada")&gt;0)),OR(O2="",COUNTIF($F$2:$F$29,O2)=0,COUNTIFS($F$2:$F$29,O2,$Q$2:$Q$29,"Aprobada")&gt;0,AND(Resumen!$B$15="La cursada aprobada",COUNTIFS($F$2:$F$29,O2,$Q$2:$Q$29,"Cursada aprobada")&gt;0)),OR(P2="",COUNTIF($F$2:$F$29,P2)=0,COUNTIFS($F$2:$F$29,P2,$Q$2:$Q$29,"Aprobada")&gt;0,AND(Resumen!$B$15="La cursada aprobada",COUNTIFS($F$2:$F$29,P2,$Q$2:$Q$29,"Cursada aprobada")&gt;0))),"Sí","No")))</f>
        <v>Sí</v>
      </c>
      <c r="S2" s="8" t="str">
        <f aca="false">TRIM(IF(NOT(OR(L2="",COUNTIF($F$2:$F$29,L2)=0,COUNTIFS($F$2:$F$29,L2,$Q$2:$Q$29,"Aprobada")&gt;0,AND(Resumen!$B$15="La cursada aprobada",COUNTIFS($F$2:$F$29,L2,$Q$2:$Q$29,"Cursada aprobada")&gt;0))),L2&amp;" ","")&amp;IF(NOT(OR(M2="",COUNTIF($F$2:$F$29,M2)=0,COUNTIFS($F$2:$F$29,M2,$Q$2:$Q$29,"Aprobada")&gt;0,AND(Resumen!$B$15="La cursada aprobada",COUNTIFS($F$2:$F$29,M2,$Q$2:$Q$29,"Cursada aprobada")&gt;0))),M2&amp;" ","")&amp;IF(NOT(OR(N2="",COUNTIF($F$2:$F$29,N2)=0,COUNTIFS($F$2:$F$29,N2,$Q$2:$Q$29,"Aprobada")&gt;0,AND(Resumen!$B$15="La cursada aprobada",COUNTIFS($F$2:$F$29,N2,$Q$2:$Q$29,"Cursada aprobada")&gt;0))),N2&amp;" ","")&amp;IF(NOT(OR(O2="",COUNTIF($F$2:$F$29,O2)=0,COUNTIFS($F$2:$F$29,O2,$Q$2:$Q$29,"Aprobada")&gt;0,AND(Resumen!$B$15="La cursada aprobada",COUNTIFS($F$2:$F$29,O2,$Q$2:$Q$29,"Cursada aprobada")&gt;0))),O2&amp;" ","")&amp;IF(NOT(OR(P2="",COUNTIF($F$2:$F$29,P2)=0,COUNTIFS($F$2:$F$29,P2,$Q$2:$Q$29,"Aprobada")&gt;0,AND(Resumen!$B$15="La cursada aprobada",COUNTIFS($F$2:$F$29,P2,$Q$2:$Q$29,"Cursada aprobada")&gt;0))),P2&amp;" ",""))</f>
        <v/>
      </c>
      <c r="T2" s="9" t="str">
        <f aca="false">IF(Q2="Cursada aprobada",IF(AND(OR(L2="",COUNTIF($F$2:$F$29,L2)=0,COUNTIFS($F$2:$F$29,L2,$Q$2:$Q$29,"Aprobada")&gt;0),OR(M2="",COUNTIF($F$2:$F$29,M2)=0,COUNTIFS($F$2:$F$29,M2,$Q$2:$Q$29,"Aprobada")&gt;0),OR(N2="",COUNTIF($F$2:$F$29,N2)=0,COUNTIFS($F$2:$F$29,N2,$Q$2:$Q$29,"Aprobada")&gt;0),OR(O2="",COUNTIF($F$2:$F$29,O2)=0,COUNTIFS($F$2:$F$29,O2,$Q$2:$Q$29,"Aprobada")&gt;0),OR(P2="",COUNTIF($F$2:$F$29,P2)=0,COUNTIFS($F$2:$F$29,P2,$Q$2:$Q$29,"Aprobada")&gt;0)),"Sí","No"),"")</f>
        <v/>
      </c>
      <c r="U2" s="9" t="str">
        <f aca="false">IF(Q2="Aprobada",TRIM(IF(NOT(OR(L2="",COUNTIF($F$2:$F$29,L2)=0,COUNTIFS($F$2:$F$29,L2,$Q$2:$Q$29,"Aprobada")&gt;0)),L2&amp;" ","")&amp;IF(NOT(OR(M2="",COUNTIF($F$2:$F$29,M2)=0,COUNTIFS($F$2:$F$29,M2,$Q$2:$Q$29,"Aprobada")&gt;0)),M2&amp;" ","")&amp;IF(NOT(OR(N2="",COUNTIF($F$2:$F$29,N2)=0,COUNTIFS($F$2:$F$29,N2,$Q$2:$Q$29,"Aprobada")&gt;0)),N2&amp;" ","")&amp;IF(NOT(OR(O2="",COUNTIF($F$2:$F$29,O2)=0,COUNTIFS($F$2:$F$29,O2,$Q$2:$Q$29,"Aprobada")&gt;0)),O2&amp;" ","")&amp;IF(NOT(OR(P2="",COUNTIF($F$2:$F$29,P2)=0,COUNTIFS($F$2:$F$29,P2,$Q$2:$Q$29,"Aprobada")&gt;0)),P2&amp;" ","")),IF(Q2="Cursada aprobada",TRIM(IF(NOT(OR(L2="",COUNTIF($F$2:$F$29,L2)=0,COUNTIFS($F$2:$F$29,L2,$Q$2:$Q$29,"Aprobada")&gt;0,AND(Resumen!$B$15="La cursada aprobada",COUNTIFS($F$2:$F$29,L2,$Q$2:$Q$29,"Cursada aprobada")&gt;0))),L2&amp;" ","")&amp;IF(NOT(OR(M2="",COUNTIF($F$2:$F$29,M2)=0,COUNTIFS($F$2:$F$29,M2,$Q$2:$Q$29,"Aprobada")&gt;0,AND(Resumen!$B$15="La cursada aprobada",COUNTIFS($F$2:$F$29,M2,$Q$2:$Q$29,"Cursada aprobada")&gt;0))),M2&amp;" ","")&amp;IF(NOT(OR(N2="",COUNTIF($F$2:$F$29,N2)=0,COUNTIFS($F$2:$F$29,N2,$Q$2:$Q$29,"Aprobada")&gt;0,AND(Resumen!$B$15="La cursada aprobada",COUNTIFS($F$2:$F$29,N2,$Q$2:$Q$29,"Cursada aprobada")&gt;0))),N2&amp;" ","")&amp;IF(NOT(OR(O2="",COUNTIF($F$2:$F$29,O2)=0,COUNTIFS($F$2:$F$29,O2,$Q$2:$Q$29,"Aprobada")&gt;0,AND(Resumen!$B$15="La cursada aprobada",COUNTIFS($F$2:$F$29,O2,$Q$2:$Q$29,"Cursada aprobada")&gt;0))),O2&amp;" ","")&amp;IF(NOT(OR(P2="",COUNTIF($F$2:$F$29,P2)=0,COUNTIFS($F$2:$F$29,P2,$Q$2:$Q$29,"Aprobada")&gt;0,AND(Resumen!$B$15="La cursada aprobada",COUNTIFS($F$2:$F$29,P2,$Q$2:$Q$29,"Cursada aprobada")&gt;0))),P2&amp;" ","")),""))</f>
        <v/>
      </c>
    </row>
    <row r="3" customFormat="false" ht="15" hidden="false" customHeight="false" outlineLevel="0" collapsed="false">
      <c r="A3" s="8" t="s">
        <v>236</v>
      </c>
      <c r="B3" s="8"/>
      <c r="C3" s="9" t="n">
        <v>1</v>
      </c>
      <c r="D3" s="9"/>
      <c r="E3" s="9" t="s">
        <v>99</v>
      </c>
      <c r="F3" s="9" t="n">
        <v>292</v>
      </c>
      <c r="G3" s="8" t="s">
        <v>238</v>
      </c>
      <c r="H3" s="9" t="s">
        <v>92</v>
      </c>
      <c r="I3" s="9" t="n">
        <v>4</v>
      </c>
      <c r="J3" s="9"/>
      <c r="K3" s="9" t="n">
        <v>64</v>
      </c>
      <c r="L3" s="9"/>
      <c r="M3" s="9"/>
      <c r="N3" s="9"/>
      <c r="O3" s="9"/>
      <c r="P3" s="9"/>
      <c r="Q3" s="10" t="s">
        <v>62</v>
      </c>
      <c r="R3" s="9" t="str">
        <f aca="false">IF(Q3="Aprobada","Ya aprobada",IF(Q3="Cursada aprobada","Ya cursada",IF(AND(OR(L3="",COUNTIF($F$2:$F$29,L3)=0,COUNTIFS($F$2:$F$29,L3,$Q$2:$Q$29,"Aprobada")&gt;0,AND(Resumen!$B$15="La cursada aprobada",COUNTIFS($F$2:$F$29,L3,$Q$2:$Q$29,"Cursada aprobada")&gt;0)),OR(M3="",COUNTIF($F$2:$F$29,M3)=0,COUNTIFS($F$2:$F$29,M3,$Q$2:$Q$29,"Aprobada")&gt;0,AND(Resumen!$B$15="La cursada aprobada",COUNTIFS($F$2:$F$29,M3,$Q$2:$Q$29,"Cursada aprobada")&gt;0)),OR(N3="",COUNTIF($F$2:$F$29,N3)=0,COUNTIFS($F$2:$F$29,N3,$Q$2:$Q$29,"Aprobada")&gt;0,AND(Resumen!$B$15="La cursada aprobada",COUNTIFS($F$2:$F$29,N3,$Q$2:$Q$29,"Cursada aprobada")&gt;0)),OR(O3="",COUNTIF($F$2:$F$29,O3)=0,COUNTIFS($F$2:$F$29,O3,$Q$2:$Q$29,"Aprobada")&gt;0,AND(Resumen!$B$15="La cursada aprobada",COUNTIFS($F$2:$F$29,O3,$Q$2:$Q$29,"Cursada aprobada")&gt;0)),OR(P3="",COUNTIF($F$2:$F$29,P3)=0,COUNTIFS($F$2:$F$29,P3,$Q$2:$Q$29,"Aprobada")&gt;0,AND(Resumen!$B$15="La cursada aprobada",COUNTIFS($F$2:$F$29,P3,$Q$2:$Q$29,"Cursada aprobada")&gt;0))),"Sí","No")))</f>
        <v>Sí</v>
      </c>
      <c r="S3" s="8" t="str">
        <f aca="false">TRIM(IF(NOT(OR(L3="",COUNTIF($F$2:$F$29,L3)=0,COUNTIFS($F$2:$F$29,L3,$Q$2:$Q$29,"Aprobada")&gt;0,AND(Resumen!$B$15="La cursada aprobada",COUNTIFS($F$2:$F$29,L3,$Q$2:$Q$29,"Cursada aprobada")&gt;0))),L3&amp;" ","")&amp;IF(NOT(OR(M3="",COUNTIF($F$2:$F$29,M3)=0,COUNTIFS($F$2:$F$29,M3,$Q$2:$Q$29,"Aprobada")&gt;0,AND(Resumen!$B$15="La cursada aprobada",COUNTIFS($F$2:$F$29,M3,$Q$2:$Q$29,"Cursada aprobada")&gt;0))),M3&amp;" ","")&amp;IF(NOT(OR(N3="",COUNTIF($F$2:$F$29,N3)=0,COUNTIFS($F$2:$F$29,N3,$Q$2:$Q$29,"Aprobada")&gt;0,AND(Resumen!$B$15="La cursada aprobada",COUNTIFS($F$2:$F$29,N3,$Q$2:$Q$29,"Cursada aprobada")&gt;0))),N3&amp;" ","")&amp;IF(NOT(OR(O3="",COUNTIF($F$2:$F$29,O3)=0,COUNTIFS($F$2:$F$29,O3,$Q$2:$Q$29,"Aprobada")&gt;0,AND(Resumen!$B$15="La cursada aprobada",COUNTIFS($F$2:$F$29,O3,$Q$2:$Q$29,"Cursada aprobada")&gt;0))),O3&amp;" ","")&amp;IF(NOT(OR(P3="",COUNTIF($F$2:$F$29,P3)=0,COUNTIFS($F$2:$F$29,P3,$Q$2:$Q$29,"Aprobada")&gt;0,AND(Resumen!$B$15="La cursada aprobada",COUNTIFS($F$2:$F$29,P3,$Q$2:$Q$29,"Cursada aprobada")&gt;0))),P3&amp;" ",""))</f>
        <v/>
      </c>
      <c r="T3" s="9" t="str">
        <f aca="false">IF(Q3="Cursada aprobada",IF(AND(OR(L3="",COUNTIF($F$2:$F$29,L3)=0,COUNTIFS($F$2:$F$29,L3,$Q$2:$Q$29,"Aprobada")&gt;0),OR(M3="",COUNTIF($F$2:$F$29,M3)=0,COUNTIFS($F$2:$F$29,M3,$Q$2:$Q$29,"Aprobada")&gt;0),OR(N3="",COUNTIF($F$2:$F$29,N3)=0,COUNTIFS($F$2:$F$29,N3,$Q$2:$Q$29,"Aprobada")&gt;0),OR(O3="",COUNTIF($F$2:$F$29,O3)=0,COUNTIFS($F$2:$F$29,O3,$Q$2:$Q$29,"Aprobada")&gt;0),OR(P3="",COUNTIF($F$2:$F$29,P3)=0,COUNTIFS($F$2:$F$29,P3,$Q$2:$Q$29,"Aprobada")&gt;0)),"Sí","No"),"")</f>
        <v/>
      </c>
      <c r="U3" s="9" t="str">
        <f aca="false">IF(Q3="Aprobada",TRIM(IF(NOT(OR(L3="",COUNTIF($F$2:$F$29,L3)=0,COUNTIFS($F$2:$F$29,L3,$Q$2:$Q$29,"Aprobada")&gt;0)),L3&amp;" ","")&amp;IF(NOT(OR(M3="",COUNTIF($F$2:$F$29,M3)=0,COUNTIFS($F$2:$F$29,M3,$Q$2:$Q$29,"Aprobada")&gt;0)),M3&amp;" ","")&amp;IF(NOT(OR(N3="",COUNTIF($F$2:$F$29,N3)=0,COUNTIFS($F$2:$F$29,N3,$Q$2:$Q$29,"Aprobada")&gt;0)),N3&amp;" ","")&amp;IF(NOT(OR(O3="",COUNTIF($F$2:$F$29,O3)=0,COUNTIFS($F$2:$F$29,O3,$Q$2:$Q$29,"Aprobada")&gt;0)),O3&amp;" ","")&amp;IF(NOT(OR(P3="",COUNTIF($F$2:$F$29,P3)=0,COUNTIFS($F$2:$F$29,P3,$Q$2:$Q$29,"Aprobada")&gt;0)),P3&amp;" ","")),IF(Q3="Cursada aprobada",TRIM(IF(NOT(OR(L3="",COUNTIF($F$2:$F$29,L3)=0,COUNTIFS($F$2:$F$29,L3,$Q$2:$Q$29,"Aprobada")&gt;0,AND(Resumen!$B$15="La cursada aprobada",COUNTIFS($F$2:$F$29,L3,$Q$2:$Q$29,"Cursada aprobada")&gt;0))),L3&amp;" ","")&amp;IF(NOT(OR(M3="",COUNTIF($F$2:$F$29,M3)=0,COUNTIFS($F$2:$F$29,M3,$Q$2:$Q$29,"Aprobada")&gt;0,AND(Resumen!$B$15="La cursada aprobada",COUNTIFS($F$2:$F$29,M3,$Q$2:$Q$29,"Cursada aprobada")&gt;0))),M3&amp;" ","")&amp;IF(NOT(OR(N3="",COUNTIF($F$2:$F$29,N3)=0,COUNTIFS($F$2:$F$29,N3,$Q$2:$Q$29,"Aprobada")&gt;0,AND(Resumen!$B$15="La cursada aprobada",COUNTIFS($F$2:$F$29,N3,$Q$2:$Q$29,"Cursada aprobada")&gt;0))),N3&amp;" ","")&amp;IF(NOT(OR(O3="",COUNTIF($F$2:$F$29,O3)=0,COUNTIFS($F$2:$F$29,O3,$Q$2:$Q$29,"Aprobada")&gt;0,AND(Resumen!$B$15="La cursada aprobada",COUNTIFS($F$2:$F$29,O3,$Q$2:$Q$29,"Cursada aprobada")&gt;0))),O3&amp;" ","")&amp;IF(NOT(OR(P3="",COUNTIF($F$2:$F$29,P3)=0,COUNTIFS($F$2:$F$29,P3,$Q$2:$Q$29,"Aprobada")&gt;0,AND(Resumen!$B$15="La cursada aprobada",COUNTIFS($F$2:$F$29,P3,$Q$2:$Q$29,"Cursada aprobada")&gt;0))),P3&amp;" ","")),""))</f>
        <v/>
      </c>
    </row>
    <row r="4" customFormat="false" ht="15" hidden="false" customHeight="false" outlineLevel="0" collapsed="false">
      <c r="A4" s="8" t="s">
        <v>236</v>
      </c>
      <c r="B4" s="8"/>
      <c r="C4" s="9" t="n">
        <v>1</v>
      </c>
      <c r="D4" s="9"/>
      <c r="E4" s="9" t="s">
        <v>99</v>
      </c>
      <c r="F4" s="9" t="n">
        <v>294</v>
      </c>
      <c r="G4" s="8" t="s">
        <v>300</v>
      </c>
      <c r="H4" s="9" t="s">
        <v>92</v>
      </c>
      <c r="I4" s="9" t="n">
        <v>2</v>
      </c>
      <c r="J4" s="9"/>
      <c r="K4" s="9" t="n">
        <v>32</v>
      </c>
      <c r="L4" s="9"/>
      <c r="M4" s="9"/>
      <c r="N4" s="9"/>
      <c r="O4" s="9"/>
      <c r="P4" s="9"/>
      <c r="Q4" s="10" t="s">
        <v>62</v>
      </c>
      <c r="R4" s="9" t="str">
        <f aca="false">IF(Q4="Aprobada","Ya aprobada",IF(Q4="Cursada aprobada","Ya cursada",IF(AND(OR(L4="",COUNTIF($F$2:$F$29,L4)=0,COUNTIFS($F$2:$F$29,L4,$Q$2:$Q$29,"Aprobada")&gt;0,AND(Resumen!$B$15="La cursada aprobada",COUNTIFS($F$2:$F$29,L4,$Q$2:$Q$29,"Cursada aprobada")&gt;0)),OR(M4="",COUNTIF($F$2:$F$29,M4)=0,COUNTIFS($F$2:$F$29,M4,$Q$2:$Q$29,"Aprobada")&gt;0,AND(Resumen!$B$15="La cursada aprobada",COUNTIFS($F$2:$F$29,M4,$Q$2:$Q$29,"Cursada aprobada")&gt;0)),OR(N4="",COUNTIF($F$2:$F$29,N4)=0,COUNTIFS($F$2:$F$29,N4,$Q$2:$Q$29,"Aprobada")&gt;0,AND(Resumen!$B$15="La cursada aprobada",COUNTIFS($F$2:$F$29,N4,$Q$2:$Q$29,"Cursada aprobada")&gt;0)),OR(O4="",COUNTIF($F$2:$F$29,O4)=0,COUNTIFS($F$2:$F$29,O4,$Q$2:$Q$29,"Aprobada")&gt;0,AND(Resumen!$B$15="La cursada aprobada",COUNTIFS($F$2:$F$29,O4,$Q$2:$Q$29,"Cursada aprobada")&gt;0)),OR(P4="",COUNTIF($F$2:$F$29,P4)=0,COUNTIFS($F$2:$F$29,P4,$Q$2:$Q$29,"Aprobada")&gt;0,AND(Resumen!$B$15="La cursada aprobada",COUNTIFS($F$2:$F$29,P4,$Q$2:$Q$29,"Cursada aprobada")&gt;0))),"Sí","No")))</f>
        <v>Sí</v>
      </c>
      <c r="S4" s="8" t="str">
        <f aca="false">TRIM(IF(NOT(OR(L4="",COUNTIF($F$2:$F$29,L4)=0,COUNTIFS($F$2:$F$29,L4,$Q$2:$Q$29,"Aprobada")&gt;0,AND(Resumen!$B$15="La cursada aprobada",COUNTIFS($F$2:$F$29,L4,$Q$2:$Q$29,"Cursada aprobada")&gt;0))),L4&amp;" ","")&amp;IF(NOT(OR(M4="",COUNTIF($F$2:$F$29,M4)=0,COUNTIFS($F$2:$F$29,M4,$Q$2:$Q$29,"Aprobada")&gt;0,AND(Resumen!$B$15="La cursada aprobada",COUNTIFS($F$2:$F$29,M4,$Q$2:$Q$29,"Cursada aprobada")&gt;0))),M4&amp;" ","")&amp;IF(NOT(OR(N4="",COUNTIF($F$2:$F$29,N4)=0,COUNTIFS($F$2:$F$29,N4,$Q$2:$Q$29,"Aprobada")&gt;0,AND(Resumen!$B$15="La cursada aprobada",COUNTIFS($F$2:$F$29,N4,$Q$2:$Q$29,"Cursada aprobada")&gt;0))),N4&amp;" ","")&amp;IF(NOT(OR(O4="",COUNTIF($F$2:$F$29,O4)=0,COUNTIFS($F$2:$F$29,O4,$Q$2:$Q$29,"Aprobada")&gt;0,AND(Resumen!$B$15="La cursada aprobada",COUNTIFS($F$2:$F$29,O4,$Q$2:$Q$29,"Cursada aprobada")&gt;0))),O4&amp;" ","")&amp;IF(NOT(OR(P4="",COUNTIF($F$2:$F$29,P4)=0,COUNTIFS($F$2:$F$29,P4,$Q$2:$Q$29,"Aprobada")&gt;0,AND(Resumen!$B$15="La cursada aprobada",COUNTIFS($F$2:$F$29,P4,$Q$2:$Q$29,"Cursada aprobada")&gt;0))),P4&amp;" ",""))</f>
        <v/>
      </c>
      <c r="T4" s="9" t="str">
        <f aca="false">IF(Q4="Cursada aprobada",IF(AND(OR(L4="",COUNTIF($F$2:$F$29,L4)=0,COUNTIFS($F$2:$F$29,L4,$Q$2:$Q$29,"Aprobada")&gt;0),OR(M4="",COUNTIF($F$2:$F$29,M4)=0,COUNTIFS($F$2:$F$29,M4,$Q$2:$Q$29,"Aprobada")&gt;0),OR(N4="",COUNTIF($F$2:$F$29,N4)=0,COUNTIFS($F$2:$F$29,N4,$Q$2:$Q$29,"Aprobada")&gt;0),OR(O4="",COUNTIF($F$2:$F$29,O4)=0,COUNTIFS($F$2:$F$29,O4,$Q$2:$Q$29,"Aprobada")&gt;0),OR(P4="",COUNTIF($F$2:$F$29,P4)=0,COUNTIFS($F$2:$F$29,P4,$Q$2:$Q$29,"Aprobada")&gt;0)),"Sí","No"),"")</f>
        <v/>
      </c>
      <c r="U4" s="9" t="str">
        <f aca="false">IF(Q4="Aprobada",TRIM(IF(NOT(OR(L4="",COUNTIF($F$2:$F$29,L4)=0,COUNTIFS($F$2:$F$29,L4,$Q$2:$Q$29,"Aprobada")&gt;0)),L4&amp;" ","")&amp;IF(NOT(OR(M4="",COUNTIF($F$2:$F$29,M4)=0,COUNTIFS($F$2:$F$29,M4,$Q$2:$Q$29,"Aprobada")&gt;0)),M4&amp;" ","")&amp;IF(NOT(OR(N4="",COUNTIF($F$2:$F$29,N4)=0,COUNTIFS($F$2:$F$29,N4,$Q$2:$Q$29,"Aprobada")&gt;0)),N4&amp;" ","")&amp;IF(NOT(OR(O4="",COUNTIF($F$2:$F$29,O4)=0,COUNTIFS($F$2:$F$29,O4,$Q$2:$Q$29,"Aprobada")&gt;0)),O4&amp;" ","")&amp;IF(NOT(OR(P4="",COUNTIF($F$2:$F$29,P4)=0,COUNTIFS($F$2:$F$29,P4,$Q$2:$Q$29,"Aprobada")&gt;0)),P4&amp;" ","")),IF(Q4="Cursada aprobada",TRIM(IF(NOT(OR(L4="",COUNTIF($F$2:$F$29,L4)=0,COUNTIFS($F$2:$F$29,L4,$Q$2:$Q$29,"Aprobada")&gt;0,AND(Resumen!$B$15="La cursada aprobada",COUNTIFS($F$2:$F$29,L4,$Q$2:$Q$29,"Cursada aprobada")&gt;0))),L4&amp;" ","")&amp;IF(NOT(OR(M4="",COUNTIF($F$2:$F$29,M4)=0,COUNTIFS($F$2:$F$29,M4,$Q$2:$Q$29,"Aprobada")&gt;0,AND(Resumen!$B$15="La cursada aprobada",COUNTIFS($F$2:$F$29,M4,$Q$2:$Q$29,"Cursada aprobada")&gt;0))),M4&amp;" ","")&amp;IF(NOT(OR(N4="",COUNTIF($F$2:$F$29,N4)=0,COUNTIFS($F$2:$F$29,N4,$Q$2:$Q$29,"Aprobada")&gt;0,AND(Resumen!$B$15="La cursada aprobada",COUNTIFS($F$2:$F$29,N4,$Q$2:$Q$29,"Cursada aprobada")&gt;0))),N4&amp;" ","")&amp;IF(NOT(OR(O4="",COUNTIF($F$2:$F$29,O4)=0,COUNTIFS($F$2:$F$29,O4,$Q$2:$Q$29,"Aprobada")&gt;0,AND(Resumen!$B$15="La cursada aprobada",COUNTIFS($F$2:$F$29,O4,$Q$2:$Q$29,"Cursada aprobada")&gt;0))),O4&amp;" ","")&amp;IF(NOT(OR(P4="",COUNTIF($F$2:$F$29,P4)=0,COUNTIFS($F$2:$F$29,P4,$Q$2:$Q$29,"Aprobada")&gt;0,AND(Resumen!$B$15="La cursada aprobada",COUNTIFS($F$2:$F$29,P4,$Q$2:$Q$29,"Cursada aprobada")&gt;0))),P4&amp;" ","")),""))</f>
        <v/>
      </c>
    </row>
    <row r="5" customFormat="false" ht="15" hidden="false" customHeight="false" outlineLevel="0" collapsed="false">
      <c r="A5" s="8" t="s">
        <v>58</v>
      </c>
      <c r="B5" s="8"/>
      <c r="C5" s="9" t="n">
        <v>1</v>
      </c>
      <c r="D5" s="9" t="n">
        <v>1</v>
      </c>
      <c r="E5" s="9" t="s">
        <v>59</v>
      </c>
      <c r="F5" s="9" t="n">
        <v>101</v>
      </c>
      <c r="G5" s="8" t="s">
        <v>60</v>
      </c>
      <c r="H5" s="9" t="s">
        <v>61</v>
      </c>
      <c r="I5" s="9" t="n">
        <v>6</v>
      </c>
      <c r="J5" s="9"/>
      <c r="K5" s="9" t="n">
        <v>96</v>
      </c>
      <c r="L5" s="9" t="n">
        <v>291</v>
      </c>
      <c r="M5" s="9" t="n">
        <v>292</v>
      </c>
      <c r="N5" s="9" t="n">
        <v>294</v>
      </c>
      <c r="O5" s="9"/>
      <c r="P5" s="9"/>
      <c r="Q5" s="10" t="s">
        <v>62</v>
      </c>
      <c r="R5" s="9" t="str">
        <f aca="false">IF(Q5="Aprobada","Ya aprobada",IF(Q5="Cursada aprobada","Ya cursada",IF(AND(OR(L5="",COUNTIF($F$2:$F$29,L5)=0,COUNTIFS($F$2:$F$29,L5,$Q$2:$Q$29,"Aprobada")&gt;0,AND(Resumen!$B$15="La cursada aprobada",COUNTIFS($F$2:$F$29,L5,$Q$2:$Q$29,"Cursada aprobada")&gt;0)),OR(M5="",COUNTIF($F$2:$F$29,M5)=0,COUNTIFS($F$2:$F$29,M5,$Q$2:$Q$29,"Aprobada")&gt;0,AND(Resumen!$B$15="La cursada aprobada",COUNTIFS($F$2:$F$29,M5,$Q$2:$Q$29,"Cursada aprobada")&gt;0)),OR(N5="",COUNTIF($F$2:$F$29,N5)=0,COUNTIFS($F$2:$F$29,N5,$Q$2:$Q$29,"Aprobada")&gt;0,AND(Resumen!$B$15="La cursada aprobada",COUNTIFS($F$2:$F$29,N5,$Q$2:$Q$29,"Cursada aprobada")&gt;0)),OR(O5="",COUNTIF($F$2:$F$29,O5)=0,COUNTIFS($F$2:$F$29,O5,$Q$2:$Q$29,"Aprobada")&gt;0,AND(Resumen!$B$15="La cursada aprobada",COUNTIFS($F$2:$F$29,O5,$Q$2:$Q$29,"Cursada aprobada")&gt;0)),OR(P5="",COUNTIF($F$2:$F$29,P5)=0,COUNTIFS($F$2:$F$29,P5,$Q$2:$Q$29,"Aprobada")&gt;0,AND(Resumen!$B$15="La cursada aprobada",COUNTIFS($F$2:$F$29,P5,$Q$2:$Q$29,"Cursada aprobada")&gt;0))),"Sí","No")))</f>
        <v>No</v>
      </c>
      <c r="S5" s="8" t="str">
        <f aca="false">TRIM(IF(NOT(OR(L5="",COUNTIF($F$2:$F$29,L5)=0,COUNTIFS($F$2:$F$29,L5,$Q$2:$Q$29,"Aprobada")&gt;0,AND(Resumen!$B$15="La cursada aprobada",COUNTIFS($F$2:$F$29,L5,$Q$2:$Q$29,"Cursada aprobada")&gt;0))),L5&amp;" ","")&amp;IF(NOT(OR(M5="",COUNTIF($F$2:$F$29,M5)=0,COUNTIFS($F$2:$F$29,M5,$Q$2:$Q$29,"Aprobada")&gt;0,AND(Resumen!$B$15="La cursada aprobada",COUNTIFS($F$2:$F$29,M5,$Q$2:$Q$29,"Cursada aprobada")&gt;0))),M5&amp;" ","")&amp;IF(NOT(OR(N5="",COUNTIF($F$2:$F$29,N5)=0,COUNTIFS($F$2:$F$29,N5,$Q$2:$Q$29,"Aprobada")&gt;0,AND(Resumen!$B$15="La cursada aprobada",COUNTIFS($F$2:$F$29,N5,$Q$2:$Q$29,"Cursada aprobada")&gt;0))),N5&amp;" ","")&amp;IF(NOT(OR(O5="",COUNTIF($F$2:$F$29,O5)=0,COUNTIFS($F$2:$F$29,O5,$Q$2:$Q$29,"Aprobada")&gt;0,AND(Resumen!$B$15="La cursada aprobada",COUNTIFS($F$2:$F$29,O5,$Q$2:$Q$29,"Cursada aprobada")&gt;0))),O5&amp;" ","")&amp;IF(NOT(OR(P5="",COUNTIF($F$2:$F$29,P5)=0,COUNTIFS($F$2:$F$29,P5,$Q$2:$Q$29,"Aprobada")&gt;0,AND(Resumen!$B$15="La cursada aprobada",COUNTIFS($F$2:$F$29,P5,$Q$2:$Q$29,"Cursada aprobada")&gt;0))),P5&amp;" ",""))</f>
        <v>291 292 294</v>
      </c>
      <c r="T5" s="9" t="str">
        <f aca="false">IF(Q5="Cursada aprobada",IF(AND(OR(L5="",COUNTIF($F$2:$F$29,L5)=0,COUNTIFS($F$2:$F$29,L5,$Q$2:$Q$29,"Aprobada")&gt;0),OR(M5="",COUNTIF($F$2:$F$29,M5)=0,COUNTIFS($F$2:$F$29,M5,$Q$2:$Q$29,"Aprobada")&gt;0),OR(N5="",COUNTIF($F$2:$F$29,N5)=0,COUNTIFS($F$2:$F$29,N5,$Q$2:$Q$29,"Aprobada")&gt;0),OR(O5="",COUNTIF($F$2:$F$29,O5)=0,COUNTIFS($F$2:$F$29,O5,$Q$2:$Q$29,"Aprobada")&gt;0),OR(P5="",COUNTIF($F$2:$F$29,P5)=0,COUNTIFS($F$2:$F$29,P5,$Q$2:$Q$29,"Aprobada")&gt;0)),"Sí","No"),"")</f>
        <v/>
      </c>
      <c r="U5" s="9" t="str">
        <f aca="false">IF(Q5="Aprobada",TRIM(IF(NOT(OR(L5="",COUNTIF($F$2:$F$29,L5)=0,COUNTIFS($F$2:$F$29,L5,$Q$2:$Q$29,"Aprobada")&gt;0)),L5&amp;" ","")&amp;IF(NOT(OR(M5="",COUNTIF($F$2:$F$29,M5)=0,COUNTIFS($F$2:$F$29,M5,$Q$2:$Q$29,"Aprobada")&gt;0)),M5&amp;" ","")&amp;IF(NOT(OR(N5="",COUNTIF($F$2:$F$29,N5)=0,COUNTIFS($F$2:$F$29,N5,$Q$2:$Q$29,"Aprobada")&gt;0)),N5&amp;" ","")&amp;IF(NOT(OR(O5="",COUNTIF($F$2:$F$29,O5)=0,COUNTIFS($F$2:$F$29,O5,$Q$2:$Q$29,"Aprobada")&gt;0)),O5&amp;" ","")&amp;IF(NOT(OR(P5="",COUNTIF($F$2:$F$29,P5)=0,COUNTIFS($F$2:$F$29,P5,$Q$2:$Q$29,"Aprobada")&gt;0)),P5&amp;" ","")),IF(Q5="Cursada aprobada",TRIM(IF(NOT(OR(L5="",COUNTIF($F$2:$F$29,L5)=0,COUNTIFS($F$2:$F$29,L5,$Q$2:$Q$29,"Aprobada")&gt;0,AND(Resumen!$B$15="La cursada aprobada",COUNTIFS($F$2:$F$29,L5,$Q$2:$Q$29,"Cursada aprobada")&gt;0))),L5&amp;" ","")&amp;IF(NOT(OR(M5="",COUNTIF($F$2:$F$29,M5)=0,COUNTIFS($F$2:$F$29,M5,$Q$2:$Q$29,"Aprobada")&gt;0,AND(Resumen!$B$15="La cursada aprobada",COUNTIFS($F$2:$F$29,M5,$Q$2:$Q$29,"Cursada aprobada")&gt;0))),M5&amp;" ","")&amp;IF(NOT(OR(N5="",COUNTIF($F$2:$F$29,N5)=0,COUNTIFS($F$2:$F$29,N5,$Q$2:$Q$29,"Aprobada")&gt;0,AND(Resumen!$B$15="La cursada aprobada",COUNTIFS($F$2:$F$29,N5,$Q$2:$Q$29,"Cursada aprobada")&gt;0))),N5&amp;" ","")&amp;IF(NOT(OR(O5="",COUNTIF($F$2:$F$29,O5)=0,COUNTIFS($F$2:$F$29,O5,$Q$2:$Q$29,"Aprobada")&gt;0,AND(Resumen!$B$15="La cursada aprobada",COUNTIFS($F$2:$F$29,O5,$Q$2:$Q$29,"Cursada aprobada")&gt;0))),O5&amp;" ","")&amp;IF(NOT(OR(P5="",COUNTIF($F$2:$F$29,P5)=0,COUNTIFS($F$2:$F$29,P5,$Q$2:$Q$29,"Aprobada")&gt;0,AND(Resumen!$B$15="La cursada aprobada",COUNTIFS($F$2:$F$29,P5,$Q$2:$Q$29,"Cursada aprobada")&gt;0))),P5&amp;" ","")),""))</f>
        <v/>
      </c>
    </row>
    <row r="6" customFormat="false" ht="15" hidden="false" customHeight="false" outlineLevel="0" collapsed="false">
      <c r="A6" s="8" t="s">
        <v>58</v>
      </c>
      <c r="B6" s="8"/>
      <c r="C6" s="9" t="n">
        <v>1</v>
      </c>
      <c r="D6" s="9" t="n">
        <v>1</v>
      </c>
      <c r="E6" s="9" t="s">
        <v>67</v>
      </c>
      <c r="F6" s="9" t="n">
        <v>127</v>
      </c>
      <c r="G6" s="8" t="s">
        <v>301</v>
      </c>
      <c r="H6" s="9" t="s">
        <v>61</v>
      </c>
      <c r="I6" s="9" t="n">
        <v>6</v>
      </c>
      <c r="J6" s="9"/>
      <c r="K6" s="9" t="n">
        <v>96</v>
      </c>
      <c r="L6" s="9" t="n">
        <v>291</v>
      </c>
      <c r="M6" s="9" t="n">
        <v>292</v>
      </c>
      <c r="N6" s="9" t="n">
        <v>294</v>
      </c>
      <c r="O6" s="9"/>
      <c r="P6" s="9"/>
      <c r="Q6" s="10" t="s">
        <v>62</v>
      </c>
      <c r="R6" s="9" t="str">
        <f aca="false">IF(Q6="Aprobada","Ya aprobada",IF(Q6="Cursada aprobada","Ya cursada",IF(AND(OR(L6="",COUNTIF($F$2:$F$29,L6)=0,COUNTIFS($F$2:$F$29,L6,$Q$2:$Q$29,"Aprobada")&gt;0,AND(Resumen!$B$15="La cursada aprobada",COUNTIFS($F$2:$F$29,L6,$Q$2:$Q$29,"Cursada aprobada")&gt;0)),OR(M6="",COUNTIF($F$2:$F$29,M6)=0,COUNTIFS($F$2:$F$29,M6,$Q$2:$Q$29,"Aprobada")&gt;0,AND(Resumen!$B$15="La cursada aprobada",COUNTIFS($F$2:$F$29,M6,$Q$2:$Q$29,"Cursada aprobada")&gt;0)),OR(N6="",COUNTIF($F$2:$F$29,N6)=0,COUNTIFS($F$2:$F$29,N6,$Q$2:$Q$29,"Aprobada")&gt;0,AND(Resumen!$B$15="La cursada aprobada",COUNTIFS($F$2:$F$29,N6,$Q$2:$Q$29,"Cursada aprobada")&gt;0)),OR(O6="",COUNTIF($F$2:$F$29,O6)=0,COUNTIFS($F$2:$F$29,O6,$Q$2:$Q$29,"Aprobada")&gt;0,AND(Resumen!$B$15="La cursada aprobada",COUNTIFS($F$2:$F$29,O6,$Q$2:$Q$29,"Cursada aprobada")&gt;0)),OR(P6="",COUNTIF($F$2:$F$29,P6)=0,COUNTIFS($F$2:$F$29,P6,$Q$2:$Q$29,"Aprobada")&gt;0,AND(Resumen!$B$15="La cursada aprobada",COUNTIFS($F$2:$F$29,P6,$Q$2:$Q$29,"Cursada aprobada")&gt;0))),"Sí","No")))</f>
        <v>No</v>
      </c>
      <c r="S6" s="8" t="str">
        <f aca="false">TRIM(IF(NOT(OR(L6="",COUNTIF($F$2:$F$29,L6)=0,COUNTIFS($F$2:$F$29,L6,$Q$2:$Q$29,"Aprobada")&gt;0,AND(Resumen!$B$15="La cursada aprobada",COUNTIFS($F$2:$F$29,L6,$Q$2:$Q$29,"Cursada aprobada")&gt;0))),L6&amp;" ","")&amp;IF(NOT(OR(M6="",COUNTIF($F$2:$F$29,M6)=0,COUNTIFS($F$2:$F$29,M6,$Q$2:$Q$29,"Aprobada")&gt;0,AND(Resumen!$B$15="La cursada aprobada",COUNTIFS($F$2:$F$29,M6,$Q$2:$Q$29,"Cursada aprobada")&gt;0))),M6&amp;" ","")&amp;IF(NOT(OR(N6="",COUNTIF($F$2:$F$29,N6)=0,COUNTIFS($F$2:$F$29,N6,$Q$2:$Q$29,"Aprobada")&gt;0,AND(Resumen!$B$15="La cursada aprobada",COUNTIFS($F$2:$F$29,N6,$Q$2:$Q$29,"Cursada aprobada")&gt;0))),N6&amp;" ","")&amp;IF(NOT(OR(O6="",COUNTIF($F$2:$F$29,O6)=0,COUNTIFS($F$2:$F$29,O6,$Q$2:$Q$29,"Aprobada")&gt;0,AND(Resumen!$B$15="La cursada aprobada",COUNTIFS($F$2:$F$29,O6,$Q$2:$Q$29,"Cursada aprobada")&gt;0))),O6&amp;" ","")&amp;IF(NOT(OR(P6="",COUNTIF($F$2:$F$29,P6)=0,COUNTIFS($F$2:$F$29,P6,$Q$2:$Q$29,"Aprobada")&gt;0,AND(Resumen!$B$15="La cursada aprobada",COUNTIFS($F$2:$F$29,P6,$Q$2:$Q$29,"Cursada aprobada")&gt;0))),P6&amp;" ",""))</f>
        <v>291 292 294</v>
      </c>
      <c r="T6" s="9" t="str">
        <f aca="false">IF(Q6="Cursada aprobada",IF(AND(OR(L6="",COUNTIF($F$2:$F$29,L6)=0,COUNTIFS($F$2:$F$29,L6,$Q$2:$Q$29,"Aprobada")&gt;0),OR(M6="",COUNTIF($F$2:$F$29,M6)=0,COUNTIFS($F$2:$F$29,M6,$Q$2:$Q$29,"Aprobada")&gt;0),OR(N6="",COUNTIF($F$2:$F$29,N6)=0,COUNTIFS($F$2:$F$29,N6,$Q$2:$Q$29,"Aprobada")&gt;0),OR(O6="",COUNTIF($F$2:$F$29,O6)=0,COUNTIFS($F$2:$F$29,O6,$Q$2:$Q$29,"Aprobada")&gt;0),OR(P6="",COUNTIF($F$2:$F$29,P6)=0,COUNTIFS($F$2:$F$29,P6,$Q$2:$Q$29,"Aprobada")&gt;0)),"Sí","No"),"")</f>
        <v/>
      </c>
      <c r="U6" s="9" t="str">
        <f aca="false">IF(Q6="Aprobada",TRIM(IF(NOT(OR(L6="",COUNTIF($F$2:$F$29,L6)=0,COUNTIFS($F$2:$F$29,L6,$Q$2:$Q$29,"Aprobada")&gt;0)),L6&amp;" ","")&amp;IF(NOT(OR(M6="",COUNTIF($F$2:$F$29,M6)=0,COUNTIFS($F$2:$F$29,M6,$Q$2:$Q$29,"Aprobada")&gt;0)),M6&amp;" ","")&amp;IF(NOT(OR(N6="",COUNTIF($F$2:$F$29,N6)=0,COUNTIFS($F$2:$F$29,N6,$Q$2:$Q$29,"Aprobada")&gt;0)),N6&amp;" ","")&amp;IF(NOT(OR(O6="",COUNTIF($F$2:$F$29,O6)=0,COUNTIFS($F$2:$F$29,O6,$Q$2:$Q$29,"Aprobada")&gt;0)),O6&amp;" ","")&amp;IF(NOT(OR(P6="",COUNTIF($F$2:$F$29,P6)=0,COUNTIFS($F$2:$F$29,P6,$Q$2:$Q$29,"Aprobada")&gt;0)),P6&amp;" ","")),IF(Q6="Cursada aprobada",TRIM(IF(NOT(OR(L6="",COUNTIF($F$2:$F$29,L6)=0,COUNTIFS($F$2:$F$29,L6,$Q$2:$Q$29,"Aprobada")&gt;0,AND(Resumen!$B$15="La cursada aprobada",COUNTIFS($F$2:$F$29,L6,$Q$2:$Q$29,"Cursada aprobada")&gt;0))),L6&amp;" ","")&amp;IF(NOT(OR(M6="",COUNTIF($F$2:$F$29,M6)=0,COUNTIFS($F$2:$F$29,M6,$Q$2:$Q$29,"Aprobada")&gt;0,AND(Resumen!$B$15="La cursada aprobada",COUNTIFS($F$2:$F$29,M6,$Q$2:$Q$29,"Cursada aprobada")&gt;0))),M6&amp;" ","")&amp;IF(NOT(OR(N6="",COUNTIF($F$2:$F$29,N6)=0,COUNTIFS($F$2:$F$29,N6,$Q$2:$Q$29,"Aprobada")&gt;0,AND(Resumen!$B$15="La cursada aprobada",COUNTIFS($F$2:$F$29,N6,$Q$2:$Q$29,"Cursada aprobada")&gt;0))),N6&amp;" ","")&amp;IF(NOT(OR(O6="",COUNTIF($F$2:$F$29,O6)=0,COUNTIFS($F$2:$F$29,O6,$Q$2:$Q$29,"Aprobada")&gt;0,AND(Resumen!$B$15="La cursada aprobada",COUNTIFS($F$2:$F$29,O6,$Q$2:$Q$29,"Cursada aprobada")&gt;0))),O6&amp;" ","")&amp;IF(NOT(OR(P6="",COUNTIF($F$2:$F$29,P6)=0,COUNTIFS($F$2:$F$29,P6,$Q$2:$Q$29,"Aprobada")&gt;0,AND(Resumen!$B$15="La cursada aprobada",COUNTIFS($F$2:$F$29,P6,$Q$2:$Q$29,"Cursada aprobada")&gt;0))),P6&amp;" ","")),""))</f>
        <v/>
      </c>
    </row>
    <row r="7" customFormat="false" ht="15" hidden="false" customHeight="false" outlineLevel="0" collapsed="false">
      <c r="A7" s="8" t="s">
        <v>58</v>
      </c>
      <c r="B7" s="8"/>
      <c r="C7" s="9" t="n">
        <v>1</v>
      </c>
      <c r="D7" s="9" t="n">
        <v>1</v>
      </c>
      <c r="E7" s="9" t="s">
        <v>174</v>
      </c>
      <c r="F7" s="9" t="n">
        <v>161</v>
      </c>
      <c r="G7" s="8" t="s">
        <v>175</v>
      </c>
      <c r="H7" s="9" t="s">
        <v>61</v>
      </c>
      <c r="I7" s="9" t="n">
        <v>4</v>
      </c>
      <c r="J7" s="9"/>
      <c r="K7" s="9" t="n">
        <v>64</v>
      </c>
      <c r="L7" s="9" t="n">
        <v>291</v>
      </c>
      <c r="M7" s="9" t="n">
        <v>292</v>
      </c>
      <c r="N7" s="9" t="n">
        <v>294</v>
      </c>
      <c r="O7" s="9"/>
      <c r="P7" s="9"/>
      <c r="Q7" s="10" t="s">
        <v>62</v>
      </c>
      <c r="R7" s="9" t="str">
        <f aca="false">IF(Q7="Aprobada","Ya aprobada",IF(Q7="Cursada aprobada","Ya cursada",IF(AND(OR(L7="",COUNTIF($F$2:$F$29,L7)=0,COUNTIFS($F$2:$F$29,L7,$Q$2:$Q$29,"Aprobada")&gt;0,AND(Resumen!$B$15="La cursada aprobada",COUNTIFS($F$2:$F$29,L7,$Q$2:$Q$29,"Cursada aprobada")&gt;0)),OR(M7="",COUNTIF($F$2:$F$29,M7)=0,COUNTIFS($F$2:$F$29,M7,$Q$2:$Q$29,"Aprobada")&gt;0,AND(Resumen!$B$15="La cursada aprobada",COUNTIFS($F$2:$F$29,M7,$Q$2:$Q$29,"Cursada aprobada")&gt;0)),OR(N7="",COUNTIF($F$2:$F$29,N7)=0,COUNTIFS($F$2:$F$29,N7,$Q$2:$Q$29,"Aprobada")&gt;0,AND(Resumen!$B$15="La cursada aprobada",COUNTIFS($F$2:$F$29,N7,$Q$2:$Q$29,"Cursada aprobada")&gt;0)),OR(O7="",COUNTIF($F$2:$F$29,O7)=0,COUNTIFS($F$2:$F$29,O7,$Q$2:$Q$29,"Aprobada")&gt;0,AND(Resumen!$B$15="La cursada aprobada",COUNTIFS($F$2:$F$29,O7,$Q$2:$Q$29,"Cursada aprobada")&gt;0)),OR(P7="",COUNTIF($F$2:$F$29,P7)=0,COUNTIFS($F$2:$F$29,P7,$Q$2:$Q$29,"Aprobada")&gt;0,AND(Resumen!$B$15="La cursada aprobada",COUNTIFS($F$2:$F$29,P7,$Q$2:$Q$29,"Cursada aprobada")&gt;0))),"Sí","No")))</f>
        <v>No</v>
      </c>
      <c r="S7" s="8" t="str">
        <f aca="false">TRIM(IF(NOT(OR(L7="",COUNTIF($F$2:$F$29,L7)=0,COUNTIFS($F$2:$F$29,L7,$Q$2:$Q$29,"Aprobada")&gt;0,AND(Resumen!$B$15="La cursada aprobada",COUNTIFS($F$2:$F$29,L7,$Q$2:$Q$29,"Cursada aprobada")&gt;0))),L7&amp;" ","")&amp;IF(NOT(OR(M7="",COUNTIF($F$2:$F$29,M7)=0,COUNTIFS($F$2:$F$29,M7,$Q$2:$Q$29,"Aprobada")&gt;0,AND(Resumen!$B$15="La cursada aprobada",COUNTIFS($F$2:$F$29,M7,$Q$2:$Q$29,"Cursada aprobada")&gt;0))),M7&amp;" ","")&amp;IF(NOT(OR(N7="",COUNTIF($F$2:$F$29,N7)=0,COUNTIFS($F$2:$F$29,N7,$Q$2:$Q$29,"Aprobada")&gt;0,AND(Resumen!$B$15="La cursada aprobada",COUNTIFS($F$2:$F$29,N7,$Q$2:$Q$29,"Cursada aprobada")&gt;0))),N7&amp;" ","")&amp;IF(NOT(OR(O7="",COUNTIF($F$2:$F$29,O7)=0,COUNTIFS($F$2:$F$29,O7,$Q$2:$Q$29,"Aprobada")&gt;0,AND(Resumen!$B$15="La cursada aprobada",COUNTIFS($F$2:$F$29,O7,$Q$2:$Q$29,"Cursada aprobada")&gt;0))),O7&amp;" ","")&amp;IF(NOT(OR(P7="",COUNTIF($F$2:$F$29,P7)=0,COUNTIFS($F$2:$F$29,P7,$Q$2:$Q$29,"Aprobada")&gt;0,AND(Resumen!$B$15="La cursada aprobada",COUNTIFS($F$2:$F$29,P7,$Q$2:$Q$29,"Cursada aprobada")&gt;0))),P7&amp;" ",""))</f>
        <v>291 292 294</v>
      </c>
      <c r="T7" s="9" t="str">
        <f aca="false">IF(Q7="Cursada aprobada",IF(AND(OR(L7="",COUNTIF($F$2:$F$29,L7)=0,COUNTIFS($F$2:$F$29,L7,$Q$2:$Q$29,"Aprobada")&gt;0),OR(M7="",COUNTIF($F$2:$F$29,M7)=0,COUNTIFS($F$2:$F$29,M7,$Q$2:$Q$29,"Aprobada")&gt;0),OR(N7="",COUNTIF($F$2:$F$29,N7)=0,COUNTIFS($F$2:$F$29,N7,$Q$2:$Q$29,"Aprobada")&gt;0),OR(O7="",COUNTIF($F$2:$F$29,O7)=0,COUNTIFS($F$2:$F$29,O7,$Q$2:$Q$29,"Aprobada")&gt;0),OR(P7="",COUNTIF($F$2:$F$29,P7)=0,COUNTIFS($F$2:$F$29,P7,$Q$2:$Q$29,"Aprobada")&gt;0)),"Sí","No"),"")</f>
        <v/>
      </c>
      <c r="U7" s="9" t="str">
        <f aca="false">IF(Q7="Aprobada",TRIM(IF(NOT(OR(L7="",COUNTIF($F$2:$F$29,L7)=0,COUNTIFS($F$2:$F$29,L7,$Q$2:$Q$29,"Aprobada")&gt;0)),L7&amp;" ","")&amp;IF(NOT(OR(M7="",COUNTIF($F$2:$F$29,M7)=0,COUNTIFS($F$2:$F$29,M7,$Q$2:$Q$29,"Aprobada")&gt;0)),M7&amp;" ","")&amp;IF(NOT(OR(N7="",COUNTIF($F$2:$F$29,N7)=0,COUNTIFS($F$2:$F$29,N7,$Q$2:$Q$29,"Aprobada")&gt;0)),N7&amp;" ","")&amp;IF(NOT(OR(O7="",COUNTIF($F$2:$F$29,O7)=0,COUNTIFS($F$2:$F$29,O7,$Q$2:$Q$29,"Aprobada")&gt;0)),O7&amp;" ","")&amp;IF(NOT(OR(P7="",COUNTIF($F$2:$F$29,P7)=0,COUNTIFS($F$2:$F$29,P7,$Q$2:$Q$29,"Aprobada")&gt;0)),P7&amp;" ","")),IF(Q7="Cursada aprobada",TRIM(IF(NOT(OR(L7="",COUNTIF($F$2:$F$29,L7)=0,COUNTIFS($F$2:$F$29,L7,$Q$2:$Q$29,"Aprobada")&gt;0,AND(Resumen!$B$15="La cursada aprobada",COUNTIFS($F$2:$F$29,L7,$Q$2:$Q$29,"Cursada aprobada")&gt;0))),L7&amp;" ","")&amp;IF(NOT(OR(M7="",COUNTIF($F$2:$F$29,M7)=0,COUNTIFS($F$2:$F$29,M7,$Q$2:$Q$29,"Aprobada")&gt;0,AND(Resumen!$B$15="La cursada aprobada",COUNTIFS($F$2:$F$29,M7,$Q$2:$Q$29,"Cursada aprobada")&gt;0))),M7&amp;" ","")&amp;IF(NOT(OR(N7="",COUNTIF($F$2:$F$29,N7)=0,COUNTIFS($F$2:$F$29,N7,$Q$2:$Q$29,"Aprobada")&gt;0,AND(Resumen!$B$15="La cursada aprobada",COUNTIFS($F$2:$F$29,N7,$Q$2:$Q$29,"Cursada aprobada")&gt;0))),N7&amp;" ","")&amp;IF(NOT(OR(O7="",COUNTIF($F$2:$F$29,O7)=0,COUNTIFS($F$2:$F$29,O7,$Q$2:$Q$29,"Aprobada")&gt;0,AND(Resumen!$B$15="La cursada aprobada",COUNTIFS($F$2:$F$29,O7,$Q$2:$Q$29,"Cursada aprobada")&gt;0))),O7&amp;" ","")&amp;IF(NOT(OR(P7="",COUNTIF($F$2:$F$29,P7)=0,COUNTIFS($F$2:$F$29,P7,$Q$2:$Q$29,"Aprobada")&gt;0,AND(Resumen!$B$15="La cursada aprobada",COUNTIFS($F$2:$F$29,P7,$Q$2:$Q$29,"Cursada aprobada")&gt;0))),P7&amp;" ","")),""))</f>
        <v/>
      </c>
    </row>
    <row r="8" customFormat="false" ht="15" hidden="false" customHeight="false" outlineLevel="0" collapsed="false">
      <c r="A8" s="8" t="s">
        <v>58</v>
      </c>
      <c r="B8" s="8"/>
      <c r="C8" s="9" t="n">
        <v>1</v>
      </c>
      <c r="D8" s="9" t="n">
        <v>2</v>
      </c>
      <c r="E8" s="9" t="s">
        <v>174</v>
      </c>
      <c r="F8" s="9" t="n">
        <v>277</v>
      </c>
      <c r="G8" s="8" t="s">
        <v>180</v>
      </c>
      <c r="H8" s="9" t="s">
        <v>61</v>
      </c>
      <c r="I8" s="9" t="n">
        <v>6</v>
      </c>
      <c r="J8" s="9"/>
      <c r="K8" s="9" t="n">
        <v>96</v>
      </c>
      <c r="L8" s="9" t="n">
        <v>161</v>
      </c>
      <c r="M8" s="9"/>
      <c r="N8" s="9"/>
      <c r="O8" s="9"/>
      <c r="P8" s="9"/>
      <c r="Q8" s="10" t="s">
        <v>62</v>
      </c>
      <c r="R8" s="9" t="str">
        <f aca="false">IF(Q8="Aprobada","Ya aprobada",IF(Q8="Cursada aprobada","Ya cursada",IF(AND(OR(L8="",COUNTIF($F$2:$F$29,L8)=0,COUNTIFS($F$2:$F$29,L8,$Q$2:$Q$29,"Aprobada")&gt;0,AND(Resumen!$B$15="La cursada aprobada",COUNTIFS($F$2:$F$29,L8,$Q$2:$Q$29,"Cursada aprobada")&gt;0)),OR(M8="",COUNTIF($F$2:$F$29,M8)=0,COUNTIFS($F$2:$F$29,M8,$Q$2:$Q$29,"Aprobada")&gt;0,AND(Resumen!$B$15="La cursada aprobada",COUNTIFS($F$2:$F$29,M8,$Q$2:$Q$29,"Cursada aprobada")&gt;0)),OR(N8="",COUNTIF($F$2:$F$29,N8)=0,COUNTIFS($F$2:$F$29,N8,$Q$2:$Q$29,"Aprobada")&gt;0,AND(Resumen!$B$15="La cursada aprobada",COUNTIFS($F$2:$F$29,N8,$Q$2:$Q$29,"Cursada aprobada")&gt;0)),OR(O8="",COUNTIF($F$2:$F$29,O8)=0,COUNTIFS($F$2:$F$29,O8,$Q$2:$Q$29,"Aprobada")&gt;0,AND(Resumen!$B$15="La cursada aprobada",COUNTIFS($F$2:$F$29,O8,$Q$2:$Q$29,"Cursada aprobada")&gt;0)),OR(P8="",COUNTIF($F$2:$F$29,P8)=0,COUNTIFS($F$2:$F$29,P8,$Q$2:$Q$29,"Aprobada")&gt;0,AND(Resumen!$B$15="La cursada aprobada",COUNTIFS($F$2:$F$29,P8,$Q$2:$Q$29,"Cursada aprobada")&gt;0))),"Sí","No")))</f>
        <v>No</v>
      </c>
      <c r="S8" s="8" t="str">
        <f aca="false">TRIM(IF(NOT(OR(L8="",COUNTIF($F$2:$F$29,L8)=0,COUNTIFS($F$2:$F$29,L8,$Q$2:$Q$29,"Aprobada")&gt;0,AND(Resumen!$B$15="La cursada aprobada",COUNTIFS($F$2:$F$29,L8,$Q$2:$Q$29,"Cursada aprobada")&gt;0))),L8&amp;" ","")&amp;IF(NOT(OR(M8="",COUNTIF($F$2:$F$29,M8)=0,COUNTIFS($F$2:$F$29,M8,$Q$2:$Q$29,"Aprobada")&gt;0,AND(Resumen!$B$15="La cursada aprobada",COUNTIFS($F$2:$F$29,M8,$Q$2:$Q$29,"Cursada aprobada")&gt;0))),M8&amp;" ","")&amp;IF(NOT(OR(N8="",COUNTIF($F$2:$F$29,N8)=0,COUNTIFS($F$2:$F$29,N8,$Q$2:$Q$29,"Aprobada")&gt;0,AND(Resumen!$B$15="La cursada aprobada",COUNTIFS($F$2:$F$29,N8,$Q$2:$Q$29,"Cursada aprobada")&gt;0))),N8&amp;" ","")&amp;IF(NOT(OR(O8="",COUNTIF($F$2:$F$29,O8)=0,COUNTIFS($F$2:$F$29,O8,$Q$2:$Q$29,"Aprobada")&gt;0,AND(Resumen!$B$15="La cursada aprobada",COUNTIFS($F$2:$F$29,O8,$Q$2:$Q$29,"Cursada aprobada")&gt;0))),O8&amp;" ","")&amp;IF(NOT(OR(P8="",COUNTIF($F$2:$F$29,P8)=0,COUNTIFS($F$2:$F$29,P8,$Q$2:$Q$29,"Aprobada")&gt;0,AND(Resumen!$B$15="La cursada aprobada",COUNTIFS($F$2:$F$29,P8,$Q$2:$Q$29,"Cursada aprobada")&gt;0))),P8&amp;" ",""))</f>
        <v>161</v>
      </c>
      <c r="T8" s="9" t="str">
        <f aca="false">IF(Q8="Cursada aprobada",IF(AND(OR(L8="",COUNTIF($F$2:$F$29,L8)=0,COUNTIFS($F$2:$F$29,L8,$Q$2:$Q$29,"Aprobada")&gt;0),OR(M8="",COUNTIF($F$2:$F$29,M8)=0,COUNTIFS($F$2:$F$29,M8,$Q$2:$Q$29,"Aprobada")&gt;0),OR(N8="",COUNTIF($F$2:$F$29,N8)=0,COUNTIFS($F$2:$F$29,N8,$Q$2:$Q$29,"Aprobada")&gt;0),OR(O8="",COUNTIF($F$2:$F$29,O8)=0,COUNTIFS($F$2:$F$29,O8,$Q$2:$Q$29,"Aprobada")&gt;0),OR(P8="",COUNTIF($F$2:$F$29,P8)=0,COUNTIFS($F$2:$F$29,P8,$Q$2:$Q$29,"Aprobada")&gt;0)),"Sí","No"),"")</f>
        <v/>
      </c>
      <c r="U8" s="9" t="str">
        <f aca="false">IF(Q8="Aprobada",TRIM(IF(NOT(OR(L8="",COUNTIF($F$2:$F$29,L8)=0,COUNTIFS($F$2:$F$29,L8,$Q$2:$Q$29,"Aprobada")&gt;0)),L8&amp;" ","")&amp;IF(NOT(OR(M8="",COUNTIF($F$2:$F$29,M8)=0,COUNTIFS($F$2:$F$29,M8,$Q$2:$Q$29,"Aprobada")&gt;0)),M8&amp;" ","")&amp;IF(NOT(OR(N8="",COUNTIF($F$2:$F$29,N8)=0,COUNTIFS($F$2:$F$29,N8,$Q$2:$Q$29,"Aprobada")&gt;0)),N8&amp;" ","")&amp;IF(NOT(OR(O8="",COUNTIF($F$2:$F$29,O8)=0,COUNTIFS($F$2:$F$29,O8,$Q$2:$Q$29,"Aprobada")&gt;0)),O8&amp;" ","")&amp;IF(NOT(OR(P8="",COUNTIF($F$2:$F$29,P8)=0,COUNTIFS($F$2:$F$29,P8,$Q$2:$Q$29,"Aprobada")&gt;0)),P8&amp;" ","")),IF(Q8="Cursada aprobada",TRIM(IF(NOT(OR(L8="",COUNTIF($F$2:$F$29,L8)=0,COUNTIFS($F$2:$F$29,L8,$Q$2:$Q$29,"Aprobada")&gt;0,AND(Resumen!$B$15="La cursada aprobada",COUNTIFS($F$2:$F$29,L8,$Q$2:$Q$29,"Cursada aprobada")&gt;0))),L8&amp;" ","")&amp;IF(NOT(OR(M8="",COUNTIF($F$2:$F$29,M8)=0,COUNTIFS($F$2:$F$29,M8,$Q$2:$Q$29,"Aprobada")&gt;0,AND(Resumen!$B$15="La cursada aprobada",COUNTIFS($F$2:$F$29,M8,$Q$2:$Q$29,"Cursada aprobada")&gt;0))),M8&amp;" ","")&amp;IF(NOT(OR(N8="",COUNTIF($F$2:$F$29,N8)=0,COUNTIFS($F$2:$F$29,N8,$Q$2:$Q$29,"Aprobada")&gt;0,AND(Resumen!$B$15="La cursada aprobada",COUNTIFS($F$2:$F$29,N8,$Q$2:$Q$29,"Cursada aprobada")&gt;0))),N8&amp;" ","")&amp;IF(NOT(OR(O8="",COUNTIF($F$2:$F$29,O8)=0,COUNTIFS($F$2:$F$29,O8,$Q$2:$Q$29,"Aprobada")&gt;0,AND(Resumen!$B$15="La cursada aprobada",COUNTIFS($F$2:$F$29,O8,$Q$2:$Q$29,"Cursada aprobada")&gt;0))),O8&amp;" ","")&amp;IF(NOT(OR(P8="",COUNTIF($F$2:$F$29,P8)=0,COUNTIFS($F$2:$F$29,P8,$Q$2:$Q$29,"Aprobada")&gt;0,AND(Resumen!$B$15="La cursada aprobada",COUNTIFS($F$2:$F$29,P8,$Q$2:$Q$29,"Cursada aprobada")&gt;0))),P8&amp;" ","")),""))</f>
        <v/>
      </c>
    </row>
    <row r="9" customFormat="false" ht="15" hidden="false" customHeight="false" outlineLevel="0" collapsed="false">
      <c r="A9" s="8" t="s">
        <v>58</v>
      </c>
      <c r="B9" s="8"/>
      <c r="C9" s="9" t="n">
        <v>1</v>
      </c>
      <c r="D9" s="9" t="n">
        <v>2</v>
      </c>
      <c r="E9" s="9" t="s">
        <v>65</v>
      </c>
      <c r="F9" s="9" t="n">
        <v>151</v>
      </c>
      <c r="G9" s="8" t="s">
        <v>302</v>
      </c>
      <c r="H9" s="9" t="s">
        <v>61</v>
      </c>
      <c r="I9" s="9" t="n">
        <v>6</v>
      </c>
      <c r="J9" s="9"/>
      <c r="K9" s="9" t="n">
        <v>96</v>
      </c>
      <c r="L9" s="9" t="n">
        <v>291</v>
      </c>
      <c r="M9" s="9" t="n">
        <v>292</v>
      </c>
      <c r="N9" s="9" t="n">
        <v>294</v>
      </c>
      <c r="O9" s="9"/>
      <c r="P9" s="9"/>
      <c r="Q9" s="10" t="s">
        <v>62</v>
      </c>
      <c r="R9" s="9" t="str">
        <f aca="false">IF(Q9="Aprobada","Ya aprobada",IF(Q9="Cursada aprobada","Ya cursada",IF(AND(OR(L9="",COUNTIF($F$2:$F$29,L9)=0,COUNTIFS($F$2:$F$29,L9,$Q$2:$Q$29,"Aprobada")&gt;0,AND(Resumen!$B$15="La cursada aprobada",COUNTIFS($F$2:$F$29,L9,$Q$2:$Q$29,"Cursada aprobada")&gt;0)),OR(M9="",COUNTIF($F$2:$F$29,M9)=0,COUNTIFS($F$2:$F$29,M9,$Q$2:$Q$29,"Aprobada")&gt;0,AND(Resumen!$B$15="La cursada aprobada",COUNTIFS($F$2:$F$29,M9,$Q$2:$Q$29,"Cursada aprobada")&gt;0)),OR(N9="",COUNTIF($F$2:$F$29,N9)=0,COUNTIFS($F$2:$F$29,N9,$Q$2:$Q$29,"Aprobada")&gt;0,AND(Resumen!$B$15="La cursada aprobada",COUNTIFS($F$2:$F$29,N9,$Q$2:$Q$29,"Cursada aprobada")&gt;0)),OR(O9="",COUNTIF($F$2:$F$29,O9)=0,COUNTIFS($F$2:$F$29,O9,$Q$2:$Q$29,"Aprobada")&gt;0,AND(Resumen!$B$15="La cursada aprobada",COUNTIFS($F$2:$F$29,O9,$Q$2:$Q$29,"Cursada aprobada")&gt;0)),OR(P9="",COUNTIF($F$2:$F$29,P9)=0,COUNTIFS($F$2:$F$29,P9,$Q$2:$Q$29,"Aprobada")&gt;0,AND(Resumen!$B$15="La cursada aprobada",COUNTIFS($F$2:$F$29,P9,$Q$2:$Q$29,"Cursada aprobada")&gt;0))),"Sí","No")))</f>
        <v>No</v>
      </c>
      <c r="S9" s="8" t="str">
        <f aca="false">TRIM(IF(NOT(OR(L9="",COUNTIF($F$2:$F$29,L9)=0,COUNTIFS($F$2:$F$29,L9,$Q$2:$Q$29,"Aprobada")&gt;0,AND(Resumen!$B$15="La cursada aprobada",COUNTIFS($F$2:$F$29,L9,$Q$2:$Q$29,"Cursada aprobada")&gt;0))),L9&amp;" ","")&amp;IF(NOT(OR(M9="",COUNTIF($F$2:$F$29,M9)=0,COUNTIFS($F$2:$F$29,M9,$Q$2:$Q$29,"Aprobada")&gt;0,AND(Resumen!$B$15="La cursada aprobada",COUNTIFS($F$2:$F$29,M9,$Q$2:$Q$29,"Cursada aprobada")&gt;0))),M9&amp;" ","")&amp;IF(NOT(OR(N9="",COUNTIF($F$2:$F$29,N9)=0,COUNTIFS($F$2:$F$29,N9,$Q$2:$Q$29,"Aprobada")&gt;0,AND(Resumen!$B$15="La cursada aprobada",COUNTIFS($F$2:$F$29,N9,$Q$2:$Q$29,"Cursada aprobada")&gt;0))),N9&amp;" ","")&amp;IF(NOT(OR(O9="",COUNTIF($F$2:$F$29,O9)=0,COUNTIFS($F$2:$F$29,O9,$Q$2:$Q$29,"Aprobada")&gt;0,AND(Resumen!$B$15="La cursada aprobada",COUNTIFS($F$2:$F$29,O9,$Q$2:$Q$29,"Cursada aprobada")&gt;0))),O9&amp;" ","")&amp;IF(NOT(OR(P9="",COUNTIF($F$2:$F$29,P9)=0,COUNTIFS($F$2:$F$29,P9,$Q$2:$Q$29,"Aprobada")&gt;0,AND(Resumen!$B$15="La cursada aprobada",COUNTIFS($F$2:$F$29,P9,$Q$2:$Q$29,"Cursada aprobada")&gt;0))),P9&amp;" ",""))</f>
        <v>291 292 294</v>
      </c>
      <c r="T9" s="9" t="str">
        <f aca="false">IF(Q9="Cursada aprobada",IF(AND(OR(L9="",COUNTIF($F$2:$F$29,L9)=0,COUNTIFS($F$2:$F$29,L9,$Q$2:$Q$29,"Aprobada")&gt;0),OR(M9="",COUNTIF($F$2:$F$29,M9)=0,COUNTIFS($F$2:$F$29,M9,$Q$2:$Q$29,"Aprobada")&gt;0),OR(N9="",COUNTIF($F$2:$F$29,N9)=0,COUNTIFS($F$2:$F$29,N9,$Q$2:$Q$29,"Aprobada")&gt;0),OR(O9="",COUNTIF($F$2:$F$29,O9)=0,COUNTIFS($F$2:$F$29,O9,$Q$2:$Q$29,"Aprobada")&gt;0),OR(P9="",COUNTIF($F$2:$F$29,P9)=0,COUNTIFS($F$2:$F$29,P9,$Q$2:$Q$29,"Aprobada")&gt;0)),"Sí","No"),"")</f>
        <v/>
      </c>
      <c r="U9" s="9" t="str">
        <f aca="false">IF(Q9="Aprobada",TRIM(IF(NOT(OR(L9="",COUNTIF($F$2:$F$29,L9)=0,COUNTIFS($F$2:$F$29,L9,$Q$2:$Q$29,"Aprobada")&gt;0)),L9&amp;" ","")&amp;IF(NOT(OR(M9="",COUNTIF($F$2:$F$29,M9)=0,COUNTIFS($F$2:$F$29,M9,$Q$2:$Q$29,"Aprobada")&gt;0)),M9&amp;" ","")&amp;IF(NOT(OR(N9="",COUNTIF($F$2:$F$29,N9)=0,COUNTIFS($F$2:$F$29,N9,$Q$2:$Q$29,"Aprobada")&gt;0)),N9&amp;" ","")&amp;IF(NOT(OR(O9="",COUNTIF($F$2:$F$29,O9)=0,COUNTIFS($F$2:$F$29,O9,$Q$2:$Q$29,"Aprobada")&gt;0)),O9&amp;" ","")&amp;IF(NOT(OR(P9="",COUNTIF($F$2:$F$29,P9)=0,COUNTIFS($F$2:$F$29,P9,$Q$2:$Q$29,"Aprobada")&gt;0)),P9&amp;" ","")),IF(Q9="Cursada aprobada",TRIM(IF(NOT(OR(L9="",COUNTIF($F$2:$F$29,L9)=0,COUNTIFS($F$2:$F$29,L9,$Q$2:$Q$29,"Aprobada")&gt;0,AND(Resumen!$B$15="La cursada aprobada",COUNTIFS($F$2:$F$29,L9,$Q$2:$Q$29,"Cursada aprobada")&gt;0))),L9&amp;" ","")&amp;IF(NOT(OR(M9="",COUNTIF($F$2:$F$29,M9)=0,COUNTIFS($F$2:$F$29,M9,$Q$2:$Q$29,"Aprobada")&gt;0,AND(Resumen!$B$15="La cursada aprobada",COUNTIFS($F$2:$F$29,M9,$Q$2:$Q$29,"Cursada aprobada")&gt;0))),M9&amp;" ","")&amp;IF(NOT(OR(N9="",COUNTIF($F$2:$F$29,N9)=0,COUNTIFS($F$2:$F$29,N9,$Q$2:$Q$29,"Aprobada")&gt;0,AND(Resumen!$B$15="La cursada aprobada",COUNTIFS($F$2:$F$29,N9,$Q$2:$Q$29,"Cursada aprobada")&gt;0))),N9&amp;" ","")&amp;IF(NOT(OR(O9="",COUNTIF($F$2:$F$29,O9)=0,COUNTIFS($F$2:$F$29,O9,$Q$2:$Q$29,"Aprobada")&gt;0,AND(Resumen!$B$15="La cursada aprobada",COUNTIFS($F$2:$F$29,O9,$Q$2:$Q$29,"Cursada aprobada")&gt;0))),O9&amp;" ","")&amp;IF(NOT(OR(P9="",COUNTIF($F$2:$F$29,P9)=0,COUNTIFS($F$2:$F$29,P9,$Q$2:$Q$29,"Aprobada")&gt;0,AND(Resumen!$B$15="La cursada aprobada",COUNTIFS($F$2:$F$29,P9,$Q$2:$Q$29,"Cursada aprobada")&gt;0))),P9&amp;" ","")),""))</f>
        <v/>
      </c>
    </row>
    <row r="10" customFormat="false" ht="15" hidden="false" customHeight="false" outlineLevel="0" collapsed="false">
      <c r="A10" s="8" t="s">
        <v>58</v>
      </c>
      <c r="B10" s="8"/>
      <c r="C10" s="9" t="n">
        <v>1</v>
      </c>
      <c r="D10" s="9" t="n">
        <v>2</v>
      </c>
      <c r="E10" s="9" t="s">
        <v>63</v>
      </c>
      <c r="F10" s="9" t="n">
        <v>104</v>
      </c>
      <c r="G10" s="8" t="s">
        <v>64</v>
      </c>
      <c r="H10" s="9" t="s">
        <v>61</v>
      </c>
      <c r="I10" s="9" t="n">
        <v>6</v>
      </c>
      <c r="J10" s="9"/>
      <c r="K10" s="9" t="n">
        <v>96</v>
      </c>
      <c r="L10" s="9" t="n">
        <v>291</v>
      </c>
      <c r="M10" s="9" t="n">
        <v>292</v>
      </c>
      <c r="N10" s="9" t="n">
        <v>294</v>
      </c>
      <c r="O10" s="9"/>
      <c r="P10" s="9"/>
      <c r="Q10" s="10" t="s">
        <v>62</v>
      </c>
      <c r="R10" s="9" t="str">
        <f aca="false">IF(Q10="Aprobada","Ya aprobada",IF(Q10="Cursada aprobada","Ya cursada",IF(AND(OR(L10="",COUNTIF($F$2:$F$29,L10)=0,COUNTIFS($F$2:$F$29,L10,$Q$2:$Q$29,"Aprobada")&gt;0,AND(Resumen!$B$15="La cursada aprobada",COUNTIFS($F$2:$F$29,L10,$Q$2:$Q$29,"Cursada aprobada")&gt;0)),OR(M10="",COUNTIF($F$2:$F$29,M10)=0,COUNTIFS($F$2:$F$29,M10,$Q$2:$Q$29,"Aprobada")&gt;0,AND(Resumen!$B$15="La cursada aprobada",COUNTIFS($F$2:$F$29,M10,$Q$2:$Q$29,"Cursada aprobada")&gt;0)),OR(N10="",COUNTIF($F$2:$F$29,N10)=0,COUNTIFS($F$2:$F$29,N10,$Q$2:$Q$29,"Aprobada")&gt;0,AND(Resumen!$B$15="La cursada aprobada",COUNTIFS($F$2:$F$29,N10,$Q$2:$Q$29,"Cursada aprobada")&gt;0)),OR(O10="",COUNTIF($F$2:$F$29,O10)=0,COUNTIFS($F$2:$F$29,O10,$Q$2:$Q$29,"Aprobada")&gt;0,AND(Resumen!$B$15="La cursada aprobada",COUNTIFS($F$2:$F$29,O10,$Q$2:$Q$29,"Cursada aprobada")&gt;0)),OR(P10="",COUNTIF($F$2:$F$29,P10)=0,COUNTIFS($F$2:$F$29,P10,$Q$2:$Q$29,"Aprobada")&gt;0,AND(Resumen!$B$15="La cursada aprobada",COUNTIFS($F$2:$F$29,P10,$Q$2:$Q$29,"Cursada aprobada")&gt;0))),"Sí","No")))</f>
        <v>No</v>
      </c>
      <c r="S10" s="8" t="str">
        <f aca="false">TRIM(IF(NOT(OR(L10="",COUNTIF($F$2:$F$29,L10)=0,COUNTIFS($F$2:$F$29,L10,$Q$2:$Q$29,"Aprobada")&gt;0,AND(Resumen!$B$15="La cursada aprobada",COUNTIFS($F$2:$F$29,L10,$Q$2:$Q$29,"Cursada aprobada")&gt;0))),L10&amp;" ","")&amp;IF(NOT(OR(M10="",COUNTIF($F$2:$F$29,M10)=0,COUNTIFS($F$2:$F$29,M10,$Q$2:$Q$29,"Aprobada")&gt;0,AND(Resumen!$B$15="La cursada aprobada",COUNTIFS($F$2:$F$29,M10,$Q$2:$Q$29,"Cursada aprobada")&gt;0))),M10&amp;" ","")&amp;IF(NOT(OR(N10="",COUNTIF($F$2:$F$29,N10)=0,COUNTIFS($F$2:$F$29,N10,$Q$2:$Q$29,"Aprobada")&gt;0,AND(Resumen!$B$15="La cursada aprobada",COUNTIFS($F$2:$F$29,N10,$Q$2:$Q$29,"Cursada aprobada")&gt;0))),N10&amp;" ","")&amp;IF(NOT(OR(O10="",COUNTIF($F$2:$F$29,O10)=0,COUNTIFS($F$2:$F$29,O10,$Q$2:$Q$29,"Aprobada")&gt;0,AND(Resumen!$B$15="La cursada aprobada",COUNTIFS($F$2:$F$29,O10,$Q$2:$Q$29,"Cursada aprobada")&gt;0))),O10&amp;" ","")&amp;IF(NOT(OR(P10="",COUNTIF($F$2:$F$29,P10)=0,COUNTIFS($F$2:$F$29,P10,$Q$2:$Q$29,"Aprobada")&gt;0,AND(Resumen!$B$15="La cursada aprobada",COUNTIFS($F$2:$F$29,P10,$Q$2:$Q$29,"Cursada aprobada")&gt;0))),P10&amp;" ",""))</f>
        <v>291 292 294</v>
      </c>
      <c r="T10" s="9" t="str">
        <f aca="false">IF(Q10="Cursada aprobada",IF(AND(OR(L10="",COUNTIF($F$2:$F$29,L10)=0,COUNTIFS($F$2:$F$29,L10,$Q$2:$Q$29,"Aprobada")&gt;0),OR(M10="",COUNTIF($F$2:$F$29,M10)=0,COUNTIFS($F$2:$F$29,M10,$Q$2:$Q$29,"Aprobada")&gt;0),OR(N10="",COUNTIF($F$2:$F$29,N10)=0,COUNTIFS($F$2:$F$29,N10,$Q$2:$Q$29,"Aprobada")&gt;0),OR(O10="",COUNTIF($F$2:$F$29,O10)=0,COUNTIFS($F$2:$F$29,O10,$Q$2:$Q$29,"Aprobada")&gt;0),OR(P10="",COUNTIF($F$2:$F$29,P10)=0,COUNTIFS($F$2:$F$29,P10,$Q$2:$Q$29,"Aprobada")&gt;0)),"Sí","No"),"")</f>
        <v/>
      </c>
      <c r="U10" s="9" t="str">
        <f aca="false">IF(Q10="Aprobada",TRIM(IF(NOT(OR(L10="",COUNTIF($F$2:$F$29,L10)=0,COUNTIFS($F$2:$F$29,L10,$Q$2:$Q$29,"Aprobada")&gt;0)),L10&amp;" ","")&amp;IF(NOT(OR(M10="",COUNTIF($F$2:$F$29,M10)=0,COUNTIFS($F$2:$F$29,M10,$Q$2:$Q$29,"Aprobada")&gt;0)),M10&amp;" ","")&amp;IF(NOT(OR(N10="",COUNTIF($F$2:$F$29,N10)=0,COUNTIFS($F$2:$F$29,N10,$Q$2:$Q$29,"Aprobada")&gt;0)),N10&amp;" ","")&amp;IF(NOT(OR(O10="",COUNTIF($F$2:$F$29,O10)=0,COUNTIFS($F$2:$F$29,O10,$Q$2:$Q$29,"Aprobada")&gt;0)),O10&amp;" ","")&amp;IF(NOT(OR(P10="",COUNTIF($F$2:$F$29,P10)=0,COUNTIFS($F$2:$F$29,P10,$Q$2:$Q$29,"Aprobada")&gt;0)),P10&amp;" ","")),IF(Q10="Cursada aprobada",TRIM(IF(NOT(OR(L10="",COUNTIF($F$2:$F$29,L10)=0,COUNTIFS($F$2:$F$29,L10,$Q$2:$Q$29,"Aprobada")&gt;0,AND(Resumen!$B$15="La cursada aprobada",COUNTIFS($F$2:$F$29,L10,$Q$2:$Q$29,"Cursada aprobada")&gt;0))),L10&amp;" ","")&amp;IF(NOT(OR(M10="",COUNTIF($F$2:$F$29,M10)=0,COUNTIFS($F$2:$F$29,M10,$Q$2:$Q$29,"Aprobada")&gt;0,AND(Resumen!$B$15="La cursada aprobada",COUNTIFS($F$2:$F$29,M10,$Q$2:$Q$29,"Cursada aprobada")&gt;0))),M10&amp;" ","")&amp;IF(NOT(OR(N10="",COUNTIF($F$2:$F$29,N10)=0,COUNTIFS($F$2:$F$29,N10,$Q$2:$Q$29,"Aprobada")&gt;0,AND(Resumen!$B$15="La cursada aprobada",COUNTIFS($F$2:$F$29,N10,$Q$2:$Q$29,"Cursada aprobada")&gt;0))),N10&amp;" ","")&amp;IF(NOT(OR(O10="",COUNTIF($F$2:$F$29,O10)=0,COUNTIFS($F$2:$F$29,O10,$Q$2:$Q$29,"Aprobada")&gt;0,AND(Resumen!$B$15="La cursada aprobada",COUNTIFS($F$2:$F$29,O10,$Q$2:$Q$29,"Cursada aprobada")&gt;0))),O10&amp;" ","")&amp;IF(NOT(OR(P10="",COUNTIF($F$2:$F$29,P10)=0,COUNTIFS($F$2:$F$29,P10,$Q$2:$Q$29,"Aprobada")&gt;0,AND(Resumen!$B$15="La cursada aprobada",COUNTIFS($F$2:$F$29,P10,$Q$2:$Q$29,"Cursada aprobada")&gt;0))),P10&amp;" ","")),""))</f>
        <v/>
      </c>
    </row>
    <row r="11" customFormat="false" ht="15" hidden="false" customHeight="false" outlineLevel="0" collapsed="false">
      <c r="A11" s="8" t="s">
        <v>58</v>
      </c>
      <c r="B11" s="8"/>
      <c r="C11" s="9" t="n">
        <v>2</v>
      </c>
      <c r="D11" s="9" t="n">
        <v>1</v>
      </c>
      <c r="E11" s="9" t="s">
        <v>77</v>
      </c>
      <c r="F11" s="9" t="n">
        <v>2001</v>
      </c>
      <c r="G11" s="8" t="s">
        <v>303</v>
      </c>
      <c r="H11" s="9" t="s">
        <v>71</v>
      </c>
      <c r="I11" s="9" t="n">
        <v>4</v>
      </c>
      <c r="J11" s="9"/>
      <c r="K11" s="9" t="n">
        <v>64</v>
      </c>
      <c r="L11" s="9" t="n">
        <v>291</v>
      </c>
      <c r="M11" s="9" t="n">
        <v>292</v>
      </c>
      <c r="N11" s="9" t="n">
        <v>294</v>
      </c>
      <c r="O11" s="9"/>
      <c r="P11" s="9"/>
      <c r="Q11" s="10" t="s">
        <v>62</v>
      </c>
      <c r="R11" s="9" t="str">
        <f aca="false">IF(Q11="Aprobada","Ya aprobada",IF(Q11="Cursada aprobada","Ya cursada",IF(AND(OR(L11="",COUNTIF($F$2:$F$29,L11)=0,COUNTIFS($F$2:$F$29,L11,$Q$2:$Q$29,"Aprobada")&gt;0,AND(Resumen!$B$15="La cursada aprobada",COUNTIFS($F$2:$F$29,L11,$Q$2:$Q$29,"Cursada aprobada")&gt;0)),OR(M11="",COUNTIF($F$2:$F$29,M11)=0,COUNTIFS($F$2:$F$29,M11,$Q$2:$Q$29,"Aprobada")&gt;0,AND(Resumen!$B$15="La cursada aprobada",COUNTIFS($F$2:$F$29,M11,$Q$2:$Q$29,"Cursada aprobada")&gt;0)),OR(N11="",COUNTIF($F$2:$F$29,N11)=0,COUNTIFS($F$2:$F$29,N11,$Q$2:$Q$29,"Aprobada")&gt;0,AND(Resumen!$B$15="La cursada aprobada",COUNTIFS($F$2:$F$29,N11,$Q$2:$Q$29,"Cursada aprobada")&gt;0)),OR(O11="",COUNTIF($F$2:$F$29,O11)=0,COUNTIFS($F$2:$F$29,O11,$Q$2:$Q$29,"Aprobada")&gt;0,AND(Resumen!$B$15="La cursada aprobada",COUNTIFS($F$2:$F$29,O11,$Q$2:$Q$29,"Cursada aprobada")&gt;0)),OR(P11="",COUNTIF($F$2:$F$29,P11)=0,COUNTIFS($F$2:$F$29,P11,$Q$2:$Q$29,"Aprobada")&gt;0,AND(Resumen!$B$15="La cursada aprobada",COUNTIFS($F$2:$F$29,P11,$Q$2:$Q$29,"Cursada aprobada")&gt;0))),"Sí","No")))</f>
        <v>No</v>
      </c>
      <c r="S11" s="8" t="str">
        <f aca="false">TRIM(IF(NOT(OR(L11="",COUNTIF($F$2:$F$29,L11)=0,COUNTIFS($F$2:$F$29,L11,$Q$2:$Q$29,"Aprobada")&gt;0,AND(Resumen!$B$15="La cursada aprobada",COUNTIFS($F$2:$F$29,L11,$Q$2:$Q$29,"Cursada aprobada")&gt;0))),L11&amp;" ","")&amp;IF(NOT(OR(M11="",COUNTIF($F$2:$F$29,M11)=0,COUNTIFS($F$2:$F$29,M11,$Q$2:$Q$29,"Aprobada")&gt;0,AND(Resumen!$B$15="La cursada aprobada",COUNTIFS($F$2:$F$29,M11,$Q$2:$Q$29,"Cursada aprobada")&gt;0))),M11&amp;" ","")&amp;IF(NOT(OR(N11="",COUNTIF($F$2:$F$29,N11)=0,COUNTIFS($F$2:$F$29,N11,$Q$2:$Q$29,"Aprobada")&gt;0,AND(Resumen!$B$15="La cursada aprobada",COUNTIFS($F$2:$F$29,N11,$Q$2:$Q$29,"Cursada aprobada")&gt;0))),N11&amp;" ","")&amp;IF(NOT(OR(O11="",COUNTIF($F$2:$F$29,O11)=0,COUNTIFS($F$2:$F$29,O11,$Q$2:$Q$29,"Aprobada")&gt;0,AND(Resumen!$B$15="La cursada aprobada",COUNTIFS($F$2:$F$29,O11,$Q$2:$Q$29,"Cursada aprobada")&gt;0))),O11&amp;" ","")&amp;IF(NOT(OR(P11="",COUNTIF($F$2:$F$29,P11)=0,COUNTIFS($F$2:$F$29,P11,$Q$2:$Q$29,"Aprobada")&gt;0,AND(Resumen!$B$15="La cursada aprobada",COUNTIFS($F$2:$F$29,P11,$Q$2:$Q$29,"Cursada aprobada")&gt;0))),P11&amp;" ",""))</f>
        <v>291 292 294</v>
      </c>
      <c r="T11" s="9" t="str">
        <f aca="false">IF(Q11="Cursada aprobada",IF(AND(OR(L11="",COUNTIF($F$2:$F$29,L11)=0,COUNTIFS($F$2:$F$29,L11,$Q$2:$Q$29,"Aprobada")&gt;0),OR(M11="",COUNTIF($F$2:$F$29,M11)=0,COUNTIFS($F$2:$F$29,M11,$Q$2:$Q$29,"Aprobada")&gt;0),OR(N11="",COUNTIF($F$2:$F$29,N11)=0,COUNTIFS($F$2:$F$29,N11,$Q$2:$Q$29,"Aprobada")&gt;0),OR(O11="",COUNTIF($F$2:$F$29,O11)=0,COUNTIFS($F$2:$F$29,O11,$Q$2:$Q$29,"Aprobada")&gt;0),OR(P11="",COUNTIF($F$2:$F$29,P11)=0,COUNTIFS($F$2:$F$29,P11,$Q$2:$Q$29,"Aprobada")&gt;0)),"Sí","No"),"")</f>
        <v/>
      </c>
      <c r="U11" s="9" t="str">
        <f aca="false">IF(Q11="Aprobada",TRIM(IF(NOT(OR(L11="",COUNTIF($F$2:$F$29,L11)=0,COUNTIFS($F$2:$F$29,L11,$Q$2:$Q$29,"Aprobada")&gt;0)),L11&amp;" ","")&amp;IF(NOT(OR(M11="",COUNTIF($F$2:$F$29,M11)=0,COUNTIFS($F$2:$F$29,M11,$Q$2:$Q$29,"Aprobada")&gt;0)),M11&amp;" ","")&amp;IF(NOT(OR(N11="",COUNTIF($F$2:$F$29,N11)=0,COUNTIFS($F$2:$F$29,N11,$Q$2:$Q$29,"Aprobada")&gt;0)),N11&amp;" ","")&amp;IF(NOT(OR(O11="",COUNTIF($F$2:$F$29,O11)=0,COUNTIFS($F$2:$F$29,O11,$Q$2:$Q$29,"Aprobada")&gt;0)),O11&amp;" ","")&amp;IF(NOT(OR(P11="",COUNTIF($F$2:$F$29,P11)=0,COUNTIFS($F$2:$F$29,P11,$Q$2:$Q$29,"Aprobada")&gt;0)),P11&amp;" ","")),IF(Q11="Cursada aprobada",TRIM(IF(NOT(OR(L11="",COUNTIF($F$2:$F$29,L11)=0,COUNTIFS($F$2:$F$29,L11,$Q$2:$Q$29,"Aprobada")&gt;0,AND(Resumen!$B$15="La cursada aprobada",COUNTIFS($F$2:$F$29,L11,$Q$2:$Q$29,"Cursada aprobada")&gt;0))),L11&amp;" ","")&amp;IF(NOT(OR(M11="",COUNTIF($F$2:$F$29,M11)=0,COUNTIFS($F$2:$F$29,M11,$Q$2:$Q$29,"Aprobada")&gt;0,AND(Resumen!$B$15="La cursada aprobada",COUNTIFS($F$2:$F$29,M11,$Q$2:$Q$29,"Cursada aprobada")&gt;0))),M11&amp;" ","")&amp;IF(NOT(OR(N11="",COUNTIF($F$2:$F$29,N11)=0,COUNTIFS($F$2:$F$29,N11,$Q$2:$Q$29,"Aprobada")&gt;0,AND(Resumen!$B$15="La cursada aprobada",COUNTIFS($F$2:$F$29,N11,$Q$2:$Q$29,"Cursada aprobada")&gt;0))),N11&amp;" ","")&amp;IF(NOT(OR(O11="",COUNTIF($F$2:$F$29,O11)=0,COUNTIFS($F$2:$F$29,O11,$Q$2:$Q$29,"Aprobada")&gt;0,AND(Resumen!$B$15="La cursada aprobada",COUNTIFS($F$2:$F$29,O11,$Q$2:$Q$29,"Cursada aprobada")&gt;0))),O11&amp;" ","")&amp;IF(NOT(OR(P11="",COUNTIF($F$2:$F$29,P11)=0,COUNTIFS($F$2:$F$29,P11,$Q$2:$Q$29,"Aprobada")&gt;0,AND(Resumen!$B$15="La cursada aprobada",COUNTIFS($F$2:$F$29,P11,$Q$2:$Q$29,"Cursada aprobada")&gt;0))),P11&amp;" ","")),""))</f>
        <v/>
      </c>
    </row>
    <row r="12" customFormat="false" ht="15" hidden="false" customHeight="false" outlineLevel="0" collapsed="false">
      <c r="A12" s="8" t="s">
        <v>58</v>
      </c>
      <c r="B12" s="8"/>
      <c r="C12" s="9" t="n">
        <v>2</v>
      </c>
      <c r="D12" s="9" t="n">
        <v>1</v>
      </c>
      <c r="E12" s="9" t="s">
        <v>174</v>
      </c>
      <c r="F12" s="9" t="n">
        <v>219</v>
      </c>
      <c r="G12" s="8" t="s">
        <v>304</v>
      </c>
      <c r="H12" s="9" t="s">
        <v>71</v>
      </c>
      <c r="I12" s="9" t="n">
        <v>4</v>
      </c>
      <c r="J12" s="9"/>
      <c r="K12" s="9" t="n">
        <v>64</v>
      </c>
      <c r="L12" s="9" t="n">
        <v>161</v>
      </c>
      <c r="M12" s="9"/>
      <c r="N12" s="9"/>
      <c r="O12" s="9"/>
      <c r="P12" s="9"/>
      <c r="Q12" s="10" t="s">
        <v>62</v>
      </c>
      <c r="R12" s="9" t="str">
        <f aca="false">IF(Q12="Aprobada","Ya aprobada",IF(Q12="Cursada aprobada","Ya cursada",IF(AND(OR(L12="",COUNTIF($F$2:$F$29,L12)=0,COUNTIFS($F$2:$F$29,L12,$Q$2:$Q$29,"Aprobada")&gt;0,AND(Resumen!$B$15="La cursada aprobada",COUNTIFS($F$2:$F$29,L12,$Q$2:$Q$29,"Cursada aprobada")&gt;0)),OR(M12="",COUNTIF($F$2:$F$29,M12)=0,COUNTIFS($F$2:$F$29,M12,$Q$2:$Q$29,"Aprobada")&gt;0,AND(Resumen!$B$15="La cursada aprobada",COUNTIFS($F$2:$F$29,M12,$Q$2:$Q$29,"Cursada aprobada")&gt;0)),OR(N12="",COUNTIF($F$2:$F$29,N12)=0,COUNTIFS($F$2:$F$29,N12,$Q$2:$Q$29,"Aprobada")&gt;0,AND(Resumen!$B$15="La cursada aprobada",COUNTIFS($F$2:$F$29,N12,$Q$2:$Q$29,"Cursada aprobada")&gt;0)),OR(O12="",COUNTIF($F$2:$F$29,O12)=0,COUNTIFS($F$2:$F$29,O12,$Q$2:$Q$29,"Aprobada")&gt;0,AND(Resumen!$B$15="La cursada aprobada",COUNTIFS($F$2:$F$29,O12,$Q$2:$Q$29,"Cursada aprobada")&gt;0)),OR(P12="",COUNTIF($F$2:$F$29,P12)=0,COUNTIFS($F$2:$F$29,P12,$Q$2:$Q$29,"Aprobada")&gt;0,AND(Resumen!$B$15="La cursada aprobada",COUNTIFS($F$2:$F$29,P12,$Q$2:$Q$29,"Cursada aprobada")&gt;0))),"Sí","No")))</f>
        <v>No</v>
      </c>
      <c r="S12" s="8" t="str">
        <f aca="false">TRIM(IF(NOT(OR(L12="",COUNTIF($F$2:$F$29,L12)=0,COUNTIFS($F$2:$F$29,L12,$Q$2:$Q$29,"Aprobada")&gt;0,AND(Resumen!$B$15="La cursada aprobada",COUNTIFS($F$2:$F$29,L12,$Q$2:$Q$29,"Cursada aprobada")&gt;0))),L12&amp;" ","")&amp;IF(NOT(OR(M12="",COUNTIF($F$2:$F$29,M12)=0,COUNTIFS($F$2:$F$29,M12,$Q$2:$Q$29,"Aprobada")&gt;0,AND(Resumen!$B$15="La cursada aprobada",COUNTIFS($F$2:$F$29,M12,$Q$2:$Q$29,"Cursada aprobada")&gt;0))),M12&amp;" ","")&amp;IF(NOT(OR(N12="",COUNTIF($F$2:$F$29,N12)=0,COUNTIFS($F$2:$F$29,N12,$Q$2:$Q$29,"Aprobada")&gt;0,AND(Resumen!$B$15="La cursada aprobada",COUNTIFS($F$2:$F$29,N12,$Q$2:$Q$29,"Cursada aprobada")&gt;0))),N12&amp;" ","")&amp;IF(NOT(OR(O12="",COUNTIF($F$2:$F$29,O12)=0,COUNTIFS($F$2:$F$29,O12,$Q$2:$Q$29,"Aprobada")&gt;0,AND(Resumen!$B$15="La cursada aprobada",COUNTIFS($F$2:$F$29,O12,$Q$2:$Q$29,"Cursada aprobada")&gt;0))),O12&amp;" ","")&amp;IF(NOT(OR(P12="",COUNTIF($F$2:$F$29,P12)=0,COUNTIFS($F$2:$F$29,P12,$Q$2:$Q$29,"Aprobada")&gt;0,AND(Resumen!$B$15="La cursada aprobada",COUNTIFS($F$2:$F$29,P12,$Q$2:$Q$29,"Cursada aprobada")&gt;0))),P12&amp;" ",""))</f>
        <v>161</v>
      </c>
      <c r="T12" s="9" t="str">
        <f aca="false">IF(Q12="Cursada aprobada",IF(AND(OR(L12="",COUNTIF($F$2:$F$29,L12)=0,COUNTIFS($F$2:$F$29,L12,$Q$2:$Q$29,"Aprobada")&gt;0),OR(M12="",COUNTIF($F$2:$F$29,M12)=0,COUNTIFS($F$2:$F$29,M12,$Q$2:$Q$29,"Aprobada")&gt;0),OR(N12="",COUNTIF($F$2:$F$29,N12)=0,COUNTIFS($F$2:$F$29,N12,$Q$2:$Q$29,"Aprobada")&gt;0),OR(O12="",COUNTIF($F$2:$F$29,O12)=0,COUNTIFS($F$2:$F$29,O12,$Q$2:$Q$29,"Aprobada")&gt;0),OR(P12="",COUNTIF($F$2:$F$29,P12)=0,COUNTIFS($F$2:$F$29,P12,$Q$2:$Q$29,"Aprobada")&gt;0)),"Sí","No"),"")</f>
        <v/>
      </c>
      <c r="U12" s="9" t="str">
        <f aca="false">IF(Q12="Aprobada",TRIM(IF(NOT(OR(L12="",COUNTIF($F$2:$F$29,L12)=0,COUNTIFS($F$2:$F$29,L12,$Q$2:$Q$29,"Aprobada")&gt;0)),L12&amp;" ","")&amp;IF(NOT(OR(M12="",COUNTIF($F$2:$F$29,M12)=0,COUNTIFS($F$2:$F$29,M12,$Q$2:$Q$29,"Aprobada")&gt;0)),M12&amp;" ","")&amp;IF(NOT(OR(N12="",COUNTIF($F$2:$F$29,N12)=0,COUNTIFS($F$2:$F$29,N12,$Q$2:$Q$29,"Aprobada")&gt;0)),N12&amp;" ","")&amp;IF(NOT(OR(O12="",COUNTIF($F$2:$F$29,O12)=0,COUNTIFS($F$2:$F$29,O12,$Q$2:$Q$29,"Aprobada")&gt;0)),O12&amp;" ","")&amp;IF(NOT(OR(P12="",COUNTIF($F$2:$F$29,P12)=0,COUNTIFS($F$2:$F$29,P12,$Q$2:$Q$29,"Aprobada")&gt;0)),P12&amp;" ","")),IF(Q12="Cursada aprobada",TRIM(IF(NOT(OR(L12="",COUNTIF($F$2:$F$29,L12)=0,COUNTIFS($F$2:$F$29,L12,$Q$2:$Q$29,"Aprobada")&gt;0,AND(Resumen!$B$15="La cursada aprobada",COUNTIFS($F$2:$F$29,L12,$Q$2:$Q$29,"Cursada aprobada")&gt;0))),L12&amp;" ","")&amp;IF(NOT(OR(M12="",COUNTIF($F$2:$F$29,M12)=0,COUNTIFS($F$2:$F$29,M12,$Q$2:$Q$29,"Aprobada")&gt;0,AND(Resumen!$B$15="La cursada aprobada",COUNTIFS($F$2:$F$29,M12,$Q$2:$Q$29,"Cursada aprobada")&gt;0))),M12&amp;" ","")&amp;IF(NOT(OR(N12="",COUNTIF($F$2:$F$29,N12)=0,COUNTIFS($F$2:$F$29,N12,$Q$2:$Q$29,"Aprobada")&gt;0,AND(Resumen!$B$15="La cursada aprobada",COUNTIFS($F$2:$F$29,N12,$Q$2:$Q$29,"Cursada aprobada")&gt;0))),N12&amp;" ","")&amp;IF(NOT(OR(O12="",COUNTIF($F$2:$F$29,O12)=0,COUNTIFS($F$2:$F$29,O12,$Q$2:$Q$29,"Aprobada")&gt;0,AND(Resumen!$B$15="La cursada aprobada",COUNTIFS($F$2:$F$29,O12,$Q$2:$Q$29,"Cursada aprobada")&gt;0))),O12&amp;" ","")&amp;IF(NOT(OR(P12="",COUNTIF($F$2:$F$29,P12)=0,COUNTIFS($F$2:$F$29,P12,$Q$2:$Q$29,"Aprobada")&gt;0,AND(Resumen!$B$15="La cursada aprobada",COUNTIFS($F$2:$F$29,P12,$Q$2:$Q$29,"Cursada aprobada")&gt;0))),P12&amp;" ","")),""))</f>
        <v/>
      </c>
    </row>
    <row r="13" customFormat="false" ht="15" hidden="false" customHeight="false" outlineLevel="0" collapsed="false">
      <c r="A13" s="8" t="s">
        <v>58</v>
      </c>
      <c r="B13" s="8"/>
      <c r="C13" s="9" t="n">
        <v>2</v>
      </c>
      <c r="D13" s="9" t="n">
        <v>1</v>
      </c>
      <c r="E13" s="9" t="s">
        <v>174</v>
      </c>
      <c r="F13" s="9" t="n">
        <v>323</v>
      </c>
      <c r="G13" s="8" t="s">
        <v>183</v>
      </c>
      <c r="H13" s="9" t="s">
        <v>71</v>
      </c>
      <c r="I13" s="9" t="n">
        <v>6</v>
      </c>
      <c r="J13" s="9"/>
      <c r="K13" s="9" t="n">
        <v>96</v>
      </c>
      <c r="L13" s="9" t="n">
        <v>277</v>
      </c>
      <c r="M13" s="9"/>
      <c r="N13" s="9"/>
      <c r="O13" s="9"/>
      <c r="P13" s="9"/>
      <c r="Q13" s="10" t="s">
        <v>62</v>
      </c>
      <c r="R13" s="9" t="str">
        <f aca="false">IF(Q13="Aprobada","Ya aprobada",IF(Q13="Cursada aprobada","Ya cursada",IF(AND(OR(L13="",COUNTIF($F$2:$F$29,L13)=0,COUNTIFS($F$2:$F$29,L13,$Q$2:$Q$29,"Aprobada")&gt;0,AND(Resumen!$B$15="La cursada aprobada",COUNTIFS($F$2:$F$29,L13,$Q$2:$Q$29,"Cursada aprobada")&gt;0)),OR(M13="",COUNTIF($F$2:$F$29,M13)=0,COUNTIFS($F$2:$F$29,M13,$Q$2:$Q$29,"Aprobada")&gt;0,AND(Resumen!$B$15="La cursada aprobada",COUNTIFS($F$2:$F$29,M13,$Q$2:$Q$29,"Cursada aprobada")&gt;0)),OR(N13="",COUNTIF($F$2:$F$29,N13)=0,COUNTIFS($F$2:$F$29,N13,$Q$2:$Q$29,"Aprobada")&gt;0,AND(Resumen!$B$15="La cursada aprobada",COUNTIFS($F$2:$F$29,N13,$Q$2:$Q$29,"Cursada aprobada")&gt;0)),OR(O13="",COUNTIF($F$2:$F$29,O13)=0,COUNTIFS($F$2:$F$29,O13,$Q$2:$Q$29,"Aprobada")&gt;0,AND(Resumen!$B$15="La cursada aprobada",COUNTIFS($F$2:$F$29,O13,$Q$2:$Q$29,"Cursada aprobada")&gt;0)),OR(P13="",COUNTIF($F$2:$F$29,P13)=0,COUNTIFS($F$2:$F$29,P13,$Q$2:$Q$29,"Aprobada")&gt;0,AND(Resumen!$B$15="La cursada aprobada",COUNTIFS($F$2:$F$29,P13,$Q$2:$Q$29,"Cursada aprobada")&gt;0))),"Sí","No")))</f>
        <v>No</v>
      </c>
      <c r="S13" s="8" t="str">
        <f aca="false">TRIM(IF(NOT(OR(L13="",COUNTIF($F$2:$F$29,L13)=0,COUNTIFS($F$2:$F$29,L13,$Q$2:$Q$29,"Aprobada")&gt;0,AND(Resumen!$B$15="La cursada aprobada",COUNTIFS($F$2:$F$29,L13,$Q$2:$Q$29,"Cursada aprobada")&gt;0))),L13&amp;" ","")&amp;IF(NOT(OR(M13="",COUNTIF($F$2:$F$29,M13)=0,COUNTIFS($F$2:$F$29,M13,$Q$2:$Q$29,"Aprobada")&gt;0,AND(Resumen!$B$15="La cursada aprobada",COUNTIFS($F$2:$F$29,M13,$Q$2:$Q$29,"Cursada aprobada")&gt;0))),M13&amp;" ","")&amp;IF(NOT(OR(N13="",COUNTIF($F$2:$F$29,N13)=0,COUNTIFS($F$2:$F$29,N13,$Q$2:$Q$29,"Aprobada")&gt;0,AND(Resumen!$B$15="La cursada aprobada",COUNTIFS($F$2:$F$29,N13,$Q$2:$Q$29,"Cursada aprobada")&gt;0))),N13&amp;" ","")&amp;IF(NOT(OR(O13="",COUNTIF($F$2:$F$29,O13)=0,COUNTIFS($F$2:$F$29,O13,$Q$2:$Q$29,"Aprobada")&gt;0,AND(Resumen!$B$15="La cursada aprobada",COUNTIFS($F$2:$F$29,O13,$Q$2:$Q$29,"Cursada aprobada")&gt;0))),O13&amp;" ","")&amp;IF(NOT(OR(P13="",COUNTIF($F$2:$F$29,P13)=0,COUNTIFS($F$2:$F$29,P13,$Q$2:$Q$29,"Aprobada")&gt;0,AND(Resumen!$B$15="La cursada aprobada",COUNTIFS($F$2:$F$29,P13,$Q$2:$Q$29,"Cursada aprobada")&gt;0))),P13&amp;" ",""))</f>
        <v>277</v>
      </c>
      <c r="T13" s="9" t="str">
        <f aca="false">IF(Q13="Cursada aprobada",IF(AND(OR(L13="",COUNTIF($F$2:$F$29,L13)=0,COUNTIFS($F$2:$F$29,L13,$Q$2:$Q$29,"Aprobada")&gt;0),OR(M13="",COUNTIF($F$2:$F$29,M13)=0,COUNTIFS($F$2:$F$29,M13,$Q$2:$Q$29,"Aprobada")&gt;0),OR(N13="",COUNTIF($F$2:$F$29,N13)=0,COUNTIFS($F$2:$F$29,N13,$Q$2:$Q$29,"Aprobada")&gt;0),OR(O13="",COUNTIF($F$2:$F$29,O13)=0,COUNTIFS($F$2:$F$29,O13,$Q$2:$Q$29,"Aprobada")&gt;0),OR(P13="",COUNTIF($F$2:$F$29,P13)=0,COUNTIFS($F$2:$F$29,P13,$Q$2:$Q$29,"Aprobada")&gt;0)),"Sí","No"),"")</f>
        <v/>
      </c>
      <c r="U13" s="9" t="str">
        <f aca="false">IF(Q13="Aprobada",TRIM(IF(NOT(OR(L13="",COUNTIF($F$2:$F$29,L13)=0,COUNTIFS($F$2:$F$29,L13,$Q$2:$Q$29,"Aprobada")&gt;0)),L13&amp;" ","")&amp;IF(NOT(OR(M13="",COUNTIF($F$2:$F$29,M13)=0,COUNTIFS($F$2:$F$29,M13,$Q$2:$Q$29,"Aprobada")&gt;0)),M13&amp;" ","")&amp;IF(NOT(OR(N13="",COUNTIF($F$2:$F$29,N13)=0,COUNTIFS($F$2:$F$29,N13,$Q$2:$Q$29,"Aprobada")&gt;0)),N13&amp;" ","")&amp;IF(NOT(OR(O13="",COUNTIF($F$2:$F$29,O13)=0,COUNTIFS($F$2:$F$29,O13,$Q$2:$Q$29,"Aprobada")&gt;0)),O13&amp;" ","")&amp;IF(NOT(OR(P13="",COUNTIF($F$2:$F$29,P13)=0,COUNTIFS($F$2:$F$29,P13,$Q$2:$Q$29,"Aprobada")&gt;0)),P13&amp;" ","")),IF(Q13="Cursada aprobada",TRIM(IF(NOT(OR(L13="",COUNTIF($F$2:$F$29,L13)=0,COUNTIFS($F$2:$F$29,L13,$Q$2:$Q$29,"Aprobada")&gt;0,AND(Resumen!$B$15="La cursada aprobada",COUNTIFS($F$2:$F$29,L13,$Q$2:$Q$29,"Cursada aprobada")&gt;0))),L13&amp;" ","")&amp;IF(NOT(OR(M13="",COUNTIF($F$2:$F$29,M13)=0,COUNTIFS($F$2:$F$29,M13,$Q$2:$Q$29,"Aprobada")&gt;0,AND(Resumen!$B$15="La cursada aprobada",COUNTIFS($F$2:$F$29,M13,$Q$2:$Q$29,"Cursada aprobada")&gt;0))),M13&amp;" ","")&amp;IF(NOT(OR(N13="",COUNTIF($F$2:$F$29,N13)=0,COUNTIFS($F$2:$F$29,N13,$Q$2:$Q$29,"Aprobada")&gt;0,AND(Resumen!$B$15="La cursada aprobada",COUNTIFS($F$2:$F$29,N13,$Q$2:$Q$29,"Cursada aprobada")&gt;0))),N13&amp;" ","")&amp;IF(NOT(OR(O13="",COUNTIF($F$2:$F$29,O13)=0,COUNTIFS($F$2:$F$29,O13,$Q$2:$Q$29,"Aprobada")&gt;0,AND(Resumen!$B$15="La cursada aprobada",COUNTIFS($F$2:$F$29,O13,$Q$2:$Q$29,"Cursada aprobada")&gt;0))),O13&amp;" ","")&amp;IF(NOT(OR(P13="",COUNTIF($F$2:$F$29,P13)=0,COUNTIFS($F$2:$F$29,P13,$Q$2:$Q$29,"Aprobada")&gt;0,AND(Resumen!$B$15="La cursada aprobada",COUNTIFS($F$2:$F$29,P13,$Q$2:$Q$29,"Cursada aprobada")&gt;0))),P13&amp;" ","")),""))</f>
        <v/>
      </c>
    </row>
    <row r="14" customFormat="false" ht="15" hidden="false" customHeight="false" outlineLevel="0" collapsed="false">
      <c r="A14" s="8" t="s">
        <v>58</v>
      </c>
      <c r="B14" s="8"/>
      <c r="C14" s="9" t="n">
        <v>2</v>
      </c>
      <c r="D14" s="9" t="n">
        <v>2</v>
      </c>
      <c r="E14" s="9" t="s">
        <v>174</v>
      </c>
      <c r="F14" s="9" t="n">
        <v>235</v>
      </c>
      <c r="G14" s="8" t="s">
        <v>305</v>
      </c>
      <c r="H14" s="9" t="s">
        <v>71</v>
      </c>
      <c r="I14" s="9" t="n">
        <v>4</v>
      </c>
      <c r="J14" s="9"/>
      <c r="K14" s="9" t="n">
        <v>64</v>
      </c>
      <c r="L14" s="9" t="n">
        <v>104</v>
      </c>
      <c r="M14" s="9" t="n">
        <v>161</v>
      </c>
      <c r="N14" s="9"/>
      <c r="O14" s="9"/>
      <c r="P14" s="9"/>
      <c r="Q14" s="10" t="s">
        <v>62</v>
      </c>
      <c r="R14" s="9" t="str">
        <f aca="false">IF(Q14="Aprobada","Ya aprobada",IF(Q14="Cursada aprobada","Ya cursada",IF(AND(OR(L14="",COUNTIF($F$2:$F$29,L14)=0,COUNTIFS($F$2:$F$29,L14,$Q$2:$Q$29,"Aprobada")&gt;0,AND(Resumen!$B$15="La cursada aprobada",COUNTIFS($F$2:$F$29,L14,$Q$2:$Q$29,"Cursada aprobada")&gt;0)),OR(M14="",COUNTIF($F$2:$F$29,M14)=0,COUNTIFS($F$2:$F$29,M14,$Q$2:$Q$29,"Aprobada")&gt;0,AND(Resumen!$B$15="La cursada aprobada",COUNTIFS($F$2:$F$29,M14,$Q$2:$Q$29,"Cursada aprobada")&gt;0)),OR(N14="",COUNTIF($F$2:$F$29,N14)=0,COUNTIFS($F$2:$F$29,N14,$Q$2:$Q$29,"Aprobada")&gt;0,AND(Resumen!$B$15="La cursada aprobada",COUNTIFS($F$2:$F$29,N14,$Q$2:$Q$29,"Cursada aprobada")&gt;0)),OR(O14="",COUNTIF($F$2:$F$29,O14)=0,COUNTIFS($F$2:$F$29,O14,$Q$2:$Q$29,"Aprobada")&gt;0,AND(Resumen!$B$15="La cursada aprobada",COUNTIFS($F$2:$F$29,O14,$Q$2:$Q$29,"Cursada aprobada")&gt;0)),OR(P14="",COUNTIF($F$2:$F$29,P14)=0,COUNTIFS($F$2:$F$29,P14,$Q$2:$Q$29,"Aprobada")&gt;0,AND(Resumen!$B$15="La cursada aprobada",COUNTIFS($F$2:$F$29,P14,$Q$2:$Q$29,"Cursada aprobada")&gt;0))),"Sí","No")))</f>
        <v>No</v>
      </c>
      <c r="S14" s="8" t="str">
        <f aca="false">TRIM(IF(NOT(OR(L14="",COUNTIF($F$2:$F$29,L14)=0,COUNTIFS($F$2:$F$29,L14,$Q$2:$Q$29,"Aprobada")&gt;0,AND(Resumen!$B$15="La cursada aprobada",COUNTIFS($F$2:$F$29,L14,$Q$2:$Q$29,"Cursada aprobada")&gt;0))),L14&amp;" ","")&amp;IF(NOT(OR(M14="",COUNTIF($F$2:$F$29,M14)=0,COUNTIFS($F$2:$F$29,M14,$Q$2:$Q$29,"Aprobada")&gt;0,AND(Resumen!$B$15="La cursada aprobada",COUNTIFS($F$2:$F$29,M14,$Q$2:$Q$29,"Cursada aprobada")&gt;0))),M14&amp;" ","")&amp;IF(NOT(OR(N14="",COUNTIF($F$2:$F$29,N14)=0,COUNTIFS($F$2:$F$29,N14,$Q$2:$Q$29,"Aprobada")&gt;0,AND(Resumen!$B$15="La cursada aprobada",COUNTIFS($F$2:$F$29,N14,$Q$2:$Q$29,"Cursada aprobada")&gt;0))),N14&amp;" ","")&amp;IF(NOT(OR(O14="",COUNTIF($F$2:$F$29,O14)=0,COUNTIFS($F$2:$F$29,O14,$Q$2:$Q$29,"Aprobada")&gt;0,AND(Resumen!$B$15="La cursada aprobada",COUNTIFS($F$2:$F$29,O14,$Q$2:$Q$29,"Cursada aprobada")&gt;0))),O14&amp;" ","")&amp;IF(NOT(OR(P14="",COUNTIF($F$2:$F$29,P14)=0,COUNTIFS($F$2:$F$29,P14,$Q$2:$Q$29,"Aprobada")&gt;0,AND(Resumen!$B$15="La cursada aprobada",COUNTIFS($F$2:$F$29,P14,$Q$2:$Q$29,"Cursada aprobada")&gt;0))),P14&amp;" ",""))</f>
        <v>104 161</v>
      </c>
      <c r="T14" s="9" t="str">
        <f aca="false">IF(Q14="Cursada aprobada",IF(AND(OR(L14="",COUNTIF($F$2:$F$29,L14)=0,COUNTIFS($F$2:$F$29,L14,$Q$2:$Q$29,"Aprobada")&gt;0),OR(M14="",COUNTIF($F$2:$F$29,M14)=0,COUNTIFS($F$2:$F$29,M14,$Q$2:$Q$29,"Aprobada")&gt;0),OR(N14="",COUNTIF($F$2:$F$29,N14)=0,COUNTIFS($F$2:$F$29,N14,$Q$2:$Q$29,"Aprobada")&gt;0),OR(O14="",COUNTIF($F$2:$F$29,O14)=0,COUNTIFS($F$2:$F$29,O14,$Q$2:$Q$29,"Aprobada")&gt;0),OR(P14="",COUNTIF($F$2:$F$29,P14)=0,COUNTIFS($F$2:$F$29,P14,$Q$2:$Q$29,"Aprobada")&gt;0)),"Sí","No"),"")</f>
        <v/>
      </c>
      <c r="U14" s="9" t="str">
        <f aca="false">IF(Q14="Aprobada",TRIM(IF(NOT(OR(L14="",COUNTIF($F$2:$F$29,L14)=0,COUNTIFS($F$2:$F$29,L14,$Q$2:$Q$29,"Aprobada")&gt;0)),L14&amp;" ","")&amp;IF(NOT(OR(M14="",COUNTIF($F$2:$F$29,M14)=0,COUNTIFS($F$2:$F$29,M14,$Q$2:$Q$29,"Aprobada")&gt;0)),M14&amp;" ","")&amp;IF(NOT(OR(N14="",COUNTIF($F$2:$F$29,N14)=0,COUNTIFS($F$2:$F$29,N14,$Q$2:$Q$29,"Aprobada")&gt;0)),N14&amp;" ","")&amp;IF(NOT(OR(O14="",COUNTIF($F$2:$F$29,O14)=0,COUNTIFS($F$2:$F$29,O14,$Q$2:$Q$29,"Aprobada")&gt;0)),O14&amp;" ","")&amp;IF(NOT(OR(P14="",COUNTIF($F$2:$F$29,P14)=0,COUNTIFS($F$2:$F$29,P14,$Q$2:$Q$29,"Aprobada")&gt;0)),P14&amp;" ","")),IF(Q14="Cursada aprobada",TRIM(IF(NOT(OR(L14="",COUNTIF($F$2:$F$29,L14)=0,COUNTIFS($F$2:$F$29,L14,$Q$2:$Q$29,"Aprobada")&gt;0,AND(Resumen!$B$15="La cursada aprobada",COUNTIFS($F$2:$F$29,L14,$Q$2:$Q$29,"Cursada aprobada")&gt;0))),L14&amp;" ","")&amp;IF(NOT(OR(M14="",COUNTIF($F$2:$F$29,M14)=0,COUNTIFS($F$2:$F$29,M14,$Q$2:$Q$29,"Aprobada")&gt;0,AND(Resumen!$B$15="La cursada aprobada",COUNTIFS($F$2:$F$29,M14,$Q$2:$Q$29,"Cursada aprobada")&gt;0))),M14&amp;" ","")&amp;IF(NOT(OR(N14="",COUNTIF($F$2:$F$29,N14)=0,COUNTIFS($F$2:$F$29,N14,$Q$2:$Q$29,"Aprobada")&gt;0,AND(Resumen!$B$15="La cursada aprobada",COUNTIFS($F$2:$F$29,N14,$Q$2:$Q$29,"Cursada aprobada")&gt;0))),N14&amp;" ","")&amp;IF(NOT(OR(O14="",COUNTIF($F$2:$F$29,O14)=0,COUNTIFS($F$2:$F$29,O14,$Q$2:$Q$29,"Aprobada")&gt;0,AND(Resumen!$B$15="La cursada aprobada",COUNTIFS($F$2:$F$29,O14,$Q$2:$Q$29,"Cursada aprobada")&gt;0))),O14&amp;" ","")&amp;IF(NOT(OR(P14="",COUNTIF($F$2:$F$29,P14)=0,COUNTIFS($F$2:$F$29,P14,$Q$2:$Q$29,"Aprobada")&gt;0,AND(Resumen!$B$15="La cursada aprobada",COUNTIFS($F$2:$F$29,P14,$Q$2:$Q$29,"Cursada aprobada")&gt;0))),P14&amp;" ","")),""))</f>
        <v/>
      </c>
    </row>
    <row r="15" customFormat="false" ht="15" hidden="false" customHeight="false" outlineLevel="0" collapsed="false">
      <c r="A15" s="8" t="s">
        <v>58</v>
      </c>
      <c r="B15" s="8"/>
      <c r="C15" s="9" t="n">
        <v>2</v>
      </c>
      <c r="D15" s="9" t="n">
        <v>2</v>
      </c>
      <c r="E15" s="9" t="s">
        <v>174</v>
      </c>
      <c r="F15" s="9" t="n">
        <v>237</v>
      </c>
      <c r="G15" s="8" t="s">
        <v>306</v>
      </c>
      <c r="H15" s="9" t="s">
        <v>71</v>
      </c>
      <c r="I15" s="9" t="n">
        <v>4</v>
      </c>
      <c r="J15" s="9"/>
      <c r="K15" s="9" t="n">
        <v>64</v>
      </c>
      <c r="L15" s="9" t="n">
        <v>161</v>
      </c>
      <c r="M15" s="9"/>
      <c r="N15" s="9"/>
      <c r="O15" s="9"/>
      <c r="P15" s="9"/>
      <c r="Q15" s="10" t="s">
        <v>62</v>
      </c>
      <c r="R15" s="9" t="str">
        <f aca="false">IF(Q15="Aprobada","Ya aprobada",IF(Q15="Cursada aprobada","Ya cursada",IF(AND(OR(L15="",COUNTIF($F$2:$F$29,L15)=0,COUNTIFS($F$2:$F$29,L15,$Q$2:$Q$29,"Aprobada")&gt;0,AND(Resumen!$B$15="La cursada aprobada",COUNTIFS($F$2:$F$29,L15,$Q$2:$Q$29,"Cursada aprobada")&gt;0)),OR(M15="",COUNTIF($F$2:$F$29,M15)=0,COUNTIFS($F$2:$F$29,M15,$Q$2:$Q$29,"Aprobada")&gt;0,AND(Resumen!$B$15="La cursada aprobada",COUNTIFS($F$2:$F$29,M15,$Q$2:$Q$29,"Cursada aprobada")&gt;0)),OR(N15="",COUNTIF($F$2:$F$29,N15)=0,COUNTIFS($F$2:$F$29,N15,$Q$2:$Q$29,"Aprobada")&gt;0,AND(Resumen!$B$15="La cursada aprobada",COUNTIFS($F$2:$F$29,N15,$Q$2:$Q$29,"Cursada aprobada")&gt;0)),OR(O15="",COUNTIF($F$2:$F$29,O15)=0,COUNTIFS($F$2:$F$29,O15,$Q$2:$Q$29,"Aprobada")&gt;0,AND(Resumen!$B$15="La cursada aprobada",COUNTIFS($F$2:$F$29,O15,$Q$2:$Q$29,"Cursada aprobada")&gt;0)),OR(P15="",COUNTIF($F$2:$F$29,P15)=0,COUNTIFS($F$2:$F$29,P15,$Q$2:$Q$29,"Aprobada")&gt;0,AND(Resumen!$B$15="La cursada aprobada",COUNTIFS($F$2:$F$29,P15,$Q$2:$Q$29,"Cursada aprobada")&gt;0))),"Sí","No")))</f>
        <v>No</v>
      </c>
      <c r="S15" s="8" t="str">
        <f aca="false">TRIM(IF(NOT(OR(L15="",COUNTIF($F$2:$F$29,L15)=0,COUNTIFS($F$2:$F$29,L15,$Q$2:$Q$29,"Aprobada")&gt;0,AND(Resumen!$B$15="La cursada aprobada",COUNTIFS($F$2:$F$29,L15,$Q$2:$Q$29,"Cursada aprobada")&gt;0))),L15&amp;" ","")&amp;IF(NOT(OR(M15="",COUNTIF($F$2:$F$29,M15)=0,COUNTIFS($F$2:$F$29,M15,$Q$2:$Q$29,"Aprobada")&gt;0,AND(Resumen!$B$15="La cursada aprobada",COUNTIFS($F$2:$F$29,M15,$Q$2:$Q$29,"Cursada aprobada")&gt;0))),M15&amp;" ","")&amp;IF(NOT(OR(N15="",COUNTIF($F$2:$F$29,N15)=0,COUNTIFS($F$2:$F$29,N15,$Q$2:$Q$29,"Aprobada")&gt;0,AND(Resumen!$B$15="La cursada aprobada",COUNTIFS($F$2:$F$29,N15,$Q$2:$Q$29,"Cursada aprobada")&gt;0))),N15&amp;" ","")&amp;IF(NOT(OR(O15="",COUNTIF($F$2:$F$29,O15)=0,COUNTIFS($F$2:$F$29,O15,$Q$2:$Q$29,"Aprobada")&gt;0,AND(Resumen!$B$15="La cursada aprobada",COUNTIFS($F$2:$F$29,O15,$Q$2:$Q$29,"Cursada aprobada")&gt;0))),O15&amp;" ","")&amp;IF(NOT(OR(P15="",COUNTIF($F$2:$F$29,P15)=0,COUNTIFS($F$2:$F$29,P15,$Q$2:$Q$29,"Aprobada")&gt;0,AND(Resumen!$B$15="La cursada aprobada",COUNTIFS($F$2:$F$29,P15,$Q$2:$Q$29,"Cursada aprobada")&gt;0))),P15&amp;" ",""))</f>
        <v>161</v>
      </c>
      <c r="T15" s="9" t="str">
        <f aca="false">IF(Q15="Cursada aprobada",IF(AND(OR(L15="",COUNTIF($F$2:$F$29,L15)=0,COUNTIFS($F$2:$F$29,L15,$Q$2:$Q$29,"Aprobada")&gt;0),OR(M15="",COUNTIF($F$2:$F$29,M15)=0,COUNTIFS($F$2:$F$29,M15,$Q$2:$Q$29,"Aprobada")&gt;0),OR(N15="",COUNTIF($F$2:$F$29,N15)=0,COUNTIFS($F$2:$F$29,N15,$Q$2:$Q$29,"Aprobada")&gt;0),OR(O15="",COUNTIF($F$2:$F$29,O15)=0,COUNTIFS($F$2:$F$29,O15,$Q$2:$Q$29,"Aprobada")&gt;0),OR(P15="",COUNTIF($F$2:$F$29,P15)=0,COUNTIFS($F$2:$F$29,P15,$Q$2:$Q$29,"Aprobada")&gt;0)),"Sí","No"),"")</f>
        <v/>
      </c>
      <c r="U15" s="9" t="str">
        <f aca="false">IF(Q15="Aprobada",TRIM(IF(NOT(OR(L15="",COUNTIF($F$2:$F$29,L15)=0,COUNTIFS($F$2:$F$29,L15,$Q$2:$Q$29,"Aprobada")&gt;0)),L15&amp;" ","")&amp;IF(NOT(OR(M15="",COUNTIF($F$2:$F$29,M15)=0,COUNTIFS($F$2:$F$29,M15,$Q$2:$Q$29,"Aprobada")&gt;0)),M15&amp;" ","")&amp;IF(NOT(OR(N15="",COUNTIF($F$2:$F$29,N15)=0,COUNTIFS($F$2:$F$29,N15,$Q$2:$Q$29,"Aprobada")&gt;0)),N15&amp;" ","")&amp;IF(NOT(OR(O15="",COUNTIF($F$2:$F$29,O15)=0,COUNTIFS($F$2:$F$29,O15,$Q$2:$Q$29,"Aprobada")&gt;0)),O15&amp;" ","")&amp;IF(NOT(OR(P15="",COUNTIF($F$2:$F$29,P15)=0,COUNTIFS($F$2:$F$29,P15,$Q$2:$Q$29,"Aprobada")&gt;0)),P15&amp;" ","")),IF(Q15="Cursada aprobada",TRIM(IF(NOT(OR(L15="",COUNTIF($F$2:$F$29,L15)=0,COUNTIFS($F$2:$F$29,L15,$Q$2:$Q$29,"Aprobada")&gt;0,AND(Resumen!$B$15="La cursada aprobada",COUNTIFS($F$2:$F$29,L15,$Q$2:$Q$29,"Cursada aprobada")&gt;0))),L15&amp;" ","")&amp;IF(NOT(OR(M15="",COUNTIF($F$2:$F$29,M15)=0,COUNTIFS($F$2:$F$29,M15,$Q$2:$Q$29,"Aprobada")&gt;0,AND(Resumen!$B$15="La cursada aprobada",COUNTIFS($F$2:$F$29,M15,$Q$2:$Q$29,"Cursada aprobada")&gt;0))),M15&amp;" ","")&amp;IF(NOT(OR(N15="",COUNTIF($F$2:$F$29,N15)=0,COUNTIFS($F$2:$F$29,N15,$Q$2:$Q$29,"Aprobada")&gt;0,AND(Resumen!$B$15="La cursada aprobada",COUNTIFS($F$2:$F$29,N15,$Q$2:$Q$29,"Cursada aprobada")&gt;0))),N15&amp;" ","")&amp;IF(NOT(OR(O15="",COUNTIF($F$2:$F$29,O15)=0,COUNTIFS($F$2:$F$29,O15,$Q$2:$Q$29,"Aprobada")&gt;0,AND(Resumen!$B$15="La cursada aprobada",COUNTIFS($F$2:$F$29,O15,$Q$2:$Q$29,"Cursada aprobada")&gt;0))),O15&amp;" ","")&amp;IF(NOT(OR(P15="",COUNTIF($F$2:$F$29,P15)=0,COUNTIFS($F$2:$F$29,P15,$Q$2:$Q$29,"Aprobada")&gt;0,AND(Resumen!$B$15="La cursada aprobada",COUNTIFS($F$2:$F$29,P15,$Q$2:$Q$29,"Cursada aprobada")&gt;0))),P15&amp;" ","")),""))</f>
        <v/>
      </c>
    </row>
    <row r="16" customFormat="false" ht="15" hidden="false" customHeight="false" outlineLevel="0" collapsed="false">
      <c r="A16" s="8" t="s">
        <v>58</v>
      </c>
      <c r="B16" s="8"/>
      <c r="C16" s="9" t="n">
        <v>2</v>
      </c>
      <c r="D16" s="9" t="n">
        <v>2</v>
      </c>
      <c r="E16" s="9" t="s">
        <v>174</v>
      </c>
      <c r="F16" s="9" t="n">
        <v>2002</v>
      </c>
      <c r="G16" s="8" t="s">
        <v>307</v>
      </c>
      <c r="H16" s="9" t="s">
        <v>61</v>
      </c>
      <c r="I16" s="9" t="n">
        <v>4</v>
      </c>
      <c r="J16" s="9"/>
      <c r="K16" s="9" t="n">
        <v>64</v>
      </c>
      <c r="L16" s="9" t="n">
        <v>161</v>
      </c>
      <c r="M16" s="9"/>
      <c r="N16" s="9"/>
      <c r="O16" s="9"/>
      <c r="P16" s="9"/>
      <c r="Q16" s="10" t="s">
        <v>62</v>
      </c>
      <c r="R16" s="9" t="str">
        <f aca="false">IF(Q16="Aprobada","Ya aprobada",IF(Q16="Cursada aprobada","Ya cursada",IF(AND(OR(L16="",COUNTIF($F$2:$F$29,L16)=0,COUNTIFS($F$2:$F$29,L16,$Q$2:$Q$29,"Aprobada")&gt;0,AND(Resumen!$B$15="La cursada aprobada",COUNTIFS($F$2:$F$29,L16,$Q$2:$Q$29,"Cursada aprobada")&gt;0)),OR(M16="",COUNTIF($F$2:$F$29,M16)=0,COUNTIFS($F$2:$F$29,M16,$Q$2:$Q$29,"Aprobada")&gt;0,AND(Resumen!$B$15="La cursada aprobada",COUNTIFS($F$2:$F$29,M16,$Q$2:$Q$29,"Cursada aprobada")&gt;0)),OR(N16="",COUNTIF($F$2:$F$29,N16)=0,COUNTIFS($F$2:$F$29,N16,$Q$2:$Q$29,"Aprobada")&gt;0,AND(Resumen!$B$15="La cursada aprobada",COUNTIFS($F$2:$F$29,N16,$Q$2:$Q$29,"Cursada aprobada")&gt;0)),OR(O16="",COUNTIF($F$2:$F$29,O16)=0,COUNTIFS($F$2:$F$29,O16,$Q$2:$Q$29,"Aprobada")&gt;0,AND(Resumen!$B$15="La cursada aprobada",COUNTIFS($F$2:$F$29,O16,$Q$2:$Q$29,"Cursada aprobada")&gt;0)),OR(P16="",COUNTIF($F$2:$F$29,P16)=0,COUNTIFS($F$2:$F$29,P16,$Q$2:$Q$29,"Aprobada")&gt;0,AND(Resumen!$B$15="La cursada aprobada",COUNTIFS($F$2:$F$29,P16,$Q$2:$Q$29,"Cursada aprobada")&gt;0))),"Sí","No")))</f>
        <v>No</v>
      </c>
      <c r="S16" s="8" t="str">
        <f aca="false">TRIM(IF(NOT(OR(L16="",COUNTIF($F$2:$F$29,L16)=0,COUNTIFS($F$2:$F$29,L16,$Q$2:$Q$29,"Aprobada")&gt;0,AND(Resumen!$B$15="La cursada aprobada",COUNTIFS($F$2:$F$29,L16,$Q$2:$Q$29,"Cursada aprobada")&gt;0))),L16&amp;" ","")&amp;IF(NOT(OR(M16="",COUNTIF($F$2:$F$29,M16)=0,COUNTIFS($F$2:$F$29,M16,$Q$2:$Q$29,"Aprobada")&gt;0,AND(Resumen!$B$15="La cursada aprobada",COUNTIFS($F$2:$F$29,M16,$Q$2:$Q$29,"Cursada aprobada")&gt;0))),M16&amp;" ","")&amp;IF(NOT(OR(N16="",COUNTIF($F$2:$F$29,N16)=0,COUNTIFS($F$2:$F$29,N16,$Q$2:$Q$29,"Aprobada")&gt;0,AND(Resumen!$B$15="La cursada aprobada",COUNTIFS($F$2:$F$29,N16,$Q$2:$Q$29,"Cursada aprobada")&gt;0))),N16&amp;" ","")&amp;IF(NOT(OR(O16="",COUNTIF($F$2:$F$29,O16)=0,COUNTIFS($F$2:$F$29,O16,$Q$2:$Q$29,"Aprobada")&gt;0,AND(Resumen!$B$15="La cursada aprobada",COUNTIFS($F$2:$F$29,O16,$Q$2:$Q$29,"Cursada aprobada")&gt;0))),O16&amp;" ","")&amp;IF(NOT(OR(P16="",COUNTIF($F$2:$F$29,P16)=0,COUNTIFS($F$2:$F$29,P16,$Q$2:$Q$29,"Aprobada")&gt;0,AND(Resumen!$B$15="La cursada aprobada",COUNTIFS($F$2:$F$29,P16,$Q$2:$Q$29,"Cursada aprobada")&gt;0))),P16&amp;" ",""))</f>
        <v>161</v>
      </c>
      <c r="T16" s="9" t="str">
        <f aca="false">IF(Q16="Cursada aprobada",IF(AND(OR(L16="",COUNTIF($F$2:$F$29,L16)=0,COUNTIFS($F$2:$F$29,L16,$Q$2:$Q$29,"Aprobada")&gt;0),OR(M16="",COUNTIF($F$2:$F$29,M16)=0,COUNTIFS($F$2:$F$29,M16,$Q$2:$Q$29,"Aprobada")&gt;0),OR(N16="",COUNTIF($F$2:$F$29,N16)=0,COUNTIFS($F$2:$F$29,N16,$Q$2:$Q$29,"Aprobada")&gt;0),OR(O16="",COUNTIF($F$2:$F$29,O16)=0,COUNTIFS($F$2:$F$29,O16,$Q$2:$Q$29,"Aprobada")&gt;0),OR(P16="",COUNTIF($F$2:$F$29,P16)=0,COUNTIFS($F$2:$F$29,P16,$Q$2:$Q$29,"Aprobada")&gt;0)),"Sí","No"),"")</f>
        <v/>
      </c>
      <c r="U16" s="9" t="str">
        <f aca="false">IF(Q16="Aprobada",TRIM(IF(NOT(OR(L16="",COUNTIF($F$2:$F$29,L16)=0,COUNTIFS($F$2:$F$29,L16,$Q$2:$Q$29,"Aprobada")&gt;0)),L16&amp;" ","")&amp;IF(NOT(OR(M16="",COUNTIF($F$2:$F$29,M16)=0,COUNTIFS($F$2:$F$29,M16,$Q$2:$Q$29,"Aprobada")&gt;0)),M16&amp;" ","")&amp;IF(NOT(OR(N16="",COUNTIF($F$2:$F$29,N16)=0,COUNTIFS($F$2:$F$29,N16,$Q$2:$Q$29,"Aprobada")&gt;0)),N16&amp;" ","")&amp;IF(NOT(OR(O16="",COUNTIF($F$2:$F$29,O16)=0,COUNTIFS($F$2:$F$29,O16,$Q$2:$Q$29,"Aprobada")&gt;0)),O16&amp;" ","")&amp;IF(NOT(OR(P16="",COUNTIF($F$2:$F$29,P16)=0,COUNTIFS($F$2:$F$29,P16,$Q$2:$Q$29,"Aprobada")&gt;0)),P16&amp;" ","")),IF(Q16="Cursada aprobada",TRIM(IF(NOT(OR(L16="",COUNTIF($F$2:$F$29,L16)=0,COUNTIFS($F$2:$F$29,L16,$Q$2:$Q$29,"Aprobada")&gt;0,AND(Resumen!$B$15="La cursada aprobada",COUNTIFS($F$2:$F$29,L16,$Q$2:$Q$29,"Cursada aprobada")&gt;0))),L16&amp;" ","")&amp;IF(NOT(OR(M16="",COUNTIF($F$2:$F$29,M16)=0,COUNTIFS($F$2:$F$29,M16,$Q$2:$Q$29,"Aprobada")&gt;0,AND(Resumen!$B$15="La cursada aprobada",COUNTIFS($F$2:$F$29,M16,$Q$2:$Q$29,"Cursada aprobada")&gt;0))),M16&amp;" ","")&amp;IF(NOT(OR(N16="",COUNTIF($F$2:$F$29,N16)=0,COUNTIFS($F$2:$F$29,N16,$Q$2:$Q$29,"Aprobada")&gt;0,AND(Resumen!$B$15="La cursada aprobada",COUNTIFS($F$2:$F$29,N16,$Q$2:$Q$29,"Cursada aprobada")&gt;0))),N16&amp;" ","")&amp;IF(NOT(OR(O16="",COUNTIF($F$2:$F$29,O16)=0,COUNTIFS($F$2:$F$29,O16,$Q$2:$Q$29,"Aprobada")&gt;0,AND(Resumen!$B$15="La cursada aprobada",COUNTIFS($F$2:$F$29,O16,$Q$2:$Q$29,"Cursada aprobada")&gt;0))),O16&amp;" ","")&amp;IF(NOT(OR(P16="",COUNTIF($F$2:$F$29,P16)=0,COUNTIFS($F$2:$F$29,P16,$Q$2:$Q$29,"Aprobada")&gt;0,AND(Resumen!$B$15="La cursada aprobada",COUNTIFS($F$2:$F$29,P16,$Q$2:$Q$29,"Cursada aprobada")&gt;0))),P16&amp;" ","")),""))</f>
        <v/>
      </c>
    </row>
    <row r="17" customFormat="false" ht="15" hidden="false" customHeight="false" outlineLevel="0" collapsed="false">
      <c r="A17" s="8" t="s">
        <v>58</v>
      </c>
      <c r="B17" s="8"/>
      <c r="C17" s="9" t="n">
        <v>3</v>
      </c>
      <c r="D17" s="9" t="n">
        <v>1</v>
      </c>
      <c r="E17" s="9" t="s">
        <v>174</v>
      </c>
      <c r="F17" s="9" t="n">
        <v>391</v>
      </c>
      <c r="G17" s="8" t="s">
        <v>308</v>
      </c>
      <c r="H17" s="9" t="s">
        <v>71</v>
      </c>
      <c r="I17" s="9" t="n">
        <v>4</v>
      </c>
      <c r="J17" s="9"/>
      <c r="K17" s="9" t="n">
        <v>64</v>
      </c>
      <c r="L17" s="9" t="n">
        <v>104</v>
      </c>
      <c r="M17" s="9" t="n">
        <v>161</v>
      </c>
      <c r="N17" s="9"/>
      <c r="O17" s="9"/>
      <c r="P17" s="9"/>
      <c r="Q17" s="10" t="s">
        <v>62</v>
      </c>
      <c r="R17" s="9" t="str">
        <f aca="false">IF(Q17="Aprobada","Ya aprobada",IF(Q17="Cursada aprobada","Ya cursada",IF(AND(OR(L17="",COUNTIF($F$2:$F$29,L17)=0,COUNTIFS($F$2:$F$29,L17,$Q$2:$Q$29,"Aprobada")&gt;0,AND(Resumen!$B$15="La cursada aprobada",COUNTIFS($F$2:$F$29,L17,$Q$2:$Q$29,"Cursada aprobada")&gt;0)),OR(M17="",COUNTIF($F$2:$F$29,M17)=0,COUNTIFS($F$2:$F$29,M17,$Q$2:$Q$29,"Aprobada")&gt;0,AND(Resumen!$B$15="La cursada aprobada",COUNTIFS($F$2:$F$29,M17,$Q$2:$Q$29,"Cursada aprobada")&gt;0)),OR(N17="",COUNTIF($F$2:$F$29,N17)=0,COUNTIFS($F$2:$F$29,N17,$Q$2:$Q$29,"Aprobada")&gt;0,AND(Resumen!$B$15="La cursada aprobada",COUNTIFS($F$2:$F$29,N17,$Q$2:$Q$29,"Cursada aprobada")&gt;0)),OR(O17="",COUNTIF($F$2:$F$29,O17)=0,COUNTIFS($F$2:$F$29,O17,$Q$2:$Q$29,"Aprobada")&gt;0,AND(Resumen!$B$15="La cursada aprobada",COUNTIFS($F$2:$F$29,O17,$Q$2:$Q$29,"Cursada aprobada")&gt;0)),OR(P17="",COUNTIF($F$2:$F$29,P17)=0,COUNTIFS($F$2:$F$29,P17,$Q$2:$Q$29,"Aprobada")&gt;0,AND(Resumen!$B$15="La cursada aprobada",COUNTIFS($F$2:$F$29,P17,$Q$2:$Q$29,"Cursada aprobada")&gt;0))),"Sí","No")))</f>
        <v>No</v>
      </c>
      <c r="S17" s="8" t="str">
        <f aca="false">TRIM(IF(NOT(OR(L17="",COUNTIF($F$2:$F$29,L17)=0,COUNTIFS($F$2:$F$29,L17,$Q$2:$Q$29,"Aprobada")&gt;0,AND(Resumen!$B$15="La cursada aprobada",COUNTIFS($F$2:$F$29,L17,$Q$2:$Q$29,"Cursada aprobada")&gt;0))),L17&amp;" ","")&amp;IF(NOT(OR(M17="",COUNTIF($F$2:$F$29,M17)=0,COUNTIFS($F$2:$F$29,M17,$Q$2:$Q$29,"Aprobada")&gt;0,AND(Resumen!$B$15="La cursada aprobada",COUNTIFS($F$2:$F$29,M17,$Q$2:$Q$29,"Cursada aprobada")&gt;0))),M17&amp;" ","")&amp;IF(NOT(OR(N17="",COUNTIF($F$2:$F$29,N17)=0,COUNTIFS($F$2:$F$29,N17,$Q$2:$Q$29,"Aprobada")&gt;0,AND(Resumen!$B$15="La cursada aprobada",COUNTIFS($F$2:$F$29,N17,$Q$2:$Q$29,"Cursada aprobada")&gt;0))),N17&amp;" ","")&amp;IF(NOT(OR(O17="",COUNTIF($F$2:$F$29,O17)=0,COUNTIFS($F$2:$F$29,O17,$Q$2:$Q$29,"Aprobada")&gt;0,AND(Resumen!$B$15="La cursada aprobada",COUNTIFS($F$2:$F$29,O17,$Q$2:$Q$29,"Cursada aprobada")&gt;0))),O17&amp;" ","")&amp;IF(NOT(OR(P17="",COUNTIF($F$2:$F$29,P17)=0,COUNTIFS($F$2:$F$29,P17,$Q$2:$Q$29,"Aprobada")&gt;0,AND(Resumen!$B$15="La cursada aprobada",COUNTIFS($F$2:$F$29,P17,$Q$2:$Q$29,"Cursada aprobada")&gt;0))),P17&amp;" ",""))</f>
        <v>104 161</v>
      </c>
      <c r="T17" s="9" t="str">
        <f aca="false">IF(Q17="Cursada aprobada",IF(AND(OR(L17="",COUNTIF($F$2:$F$29,L17)=0,COUNTIFS($F$2:$F$29,L17,$Q$2:$Q$29,"Aprobada")&gt;0),OR(M17="",COUNTIF($F$2:$F$29,M17)=0,COUNTIFS($F$2:$F$29,M17,$Q$2:$Q$29,"Aprobada")&gt;0),OR(N17="",COUNTIF($F$2:$F$29,N17)=0,COUNTIFS($F$2:$F$29,N17,$Q$2:$Q$29,"Aprobada")&gt;0),OR(O17="",COUNTIF($F$2:$F$29,O17)=0,COUNTIFS($F$2:$F$29,O17,$Q$2:$Q$29,"Aprobada")&gt;0),OR(P17="",COUNTIF($F$2:$F$29,P17)=0,COUNTIFS($F$2:$F$29,P17,$Q$2:$Q$29,"Aprobada")&gt;0)),"Sí","No"),"")</f>
        <v/>
      </c>
      <c r="U17" s="9" t="str">
        <f aca="false">IF(Q17="Aprobada",TRIM(IF(NOT(OR(L17="",COUNTIF($F$2:$F$29,L17)=0,COUNTIFS($F$2:$F$29,L17,$Q$2:$Q$29,"Aprobada")&gt;0)),L17&amp;" ","")&amp;IF(NOT(OR(M17="",COUNTIF($F$2:$F$29,M17)=0,COUNTIFS($F$2:$F$29,M17,$Q$2:$Q$29,"Aprobada")&gt;0)),M17&amp;" ","")&amp;IF(NOT(OR(N17="",COUNTIF($F$2:$F$29,N17)=0,COUNTIFS($F$2:$F$29,N17,$Q$2:$Q$29,"Aprobada")&gt;0)),N17&amp;" ","")&amp;IF(NOT(OR(O17="",COUNTIF($F$2:$F$29,O17)=0,COUNTIFS($F$2:$F$29,O17,$Q$2:$Q$29,"Aprobada")&gt;0)),O17&amp;" ","")&amp;IF(NOT(OR(P17="",COUNTIF($F$2:$F$29,P17)=0,COUNTIFS($F$2:$F$29,P17,$Q$2:$Q$29,"Aprobada")&gt;0)),P17&amp;" ","")),IF(Q17="Cursada aprobada",TRIM(IF(NOT(OR(L17="",COUNTIF($F$2:$F$29,L17)=0,COUNTIFS($F$2:$F$29,L17,$Q$2:$Q$29,"Aprobada")&gt;0,AND(Resumen!$B$15="La cursada aprobada",COUNTIFS($F$2:$F$29,L17,$Q$2:$Q$29,"Cursada aprobada")&gt;0))),L17&amp;" ","")&amp;IF(NOT(OR(M17="",COUNTIF($F$2:$F$29,M17)=0,COUNTIFS($F$2:$F$29,M17,$Q$2:$Q$29,"Aprobada")&gt;0,AND(Resumen!$B$15="La cursada aprobada",COUNTIFS($F$2:$F$29,M17,$Q$2:$Q$29,"Cursada aprobada")&gt;0))),M17&amp;" ","")&amp;IF(NOT(OR(N17="",COUNTIF($F$2:$F$29,N17)=0,COUNTIFS($F$2:$F$29,N17,$Q$2:$Q$29,"Aprobada")&gt;0,AND(Resumen!$B$15="La cursada aprobada",COUNTIFS($F$2:$F$29,N17,$Q$2:$Q$29,"Cursada aprobada")&gt;0))),N17&amp;" ","")&amp;IF(NOT(OR(O17="",COUNTIF($F$2:$F$29,O17)=0,COUNTIFS($F$2:$F$29,O17,$Q$2:$Q$29,"Aprobada")&gt;0,AND(Resumen!$B$15="La cursada aprobada",COUNTIFS($F$2:$F$29,O17,$Q$2:$Q$29,"Cursada aprobada")&gt;0))),O17&amp;" ","")&amp;IF(NOT(OR(P17="",COUNTIF($F$2:$F$29,P17)=0,COUNTIFS($F$2:$F$29,P17,$Q$2:$Q$29,"Aprobada")&gt;0,AND(Resumen!$B$15="La cursada aprobada",COUNTIFS($F$2:$F$29,P17,$Q$2:$Q$29,"Cursada aprobada")&gt;0))),P17&amp;" ","")),""))</f>
        <v/>
      </c>
    </row>
    <row r="18" customFormat="false" ht="15" hidden="false" customHeight="false" outlineLevel="0" collapsed="false">
      <c r="A18" s="8" t="s">
        <v>58</v>
      </c>
      <c r="B18" s="8"/>
      <c r="C18" s="9" t="n">
        <v>3</v>
      </c>
      <c r="D18" s="9" t="n">
        <v>1</v>
      </c>
      <c r="E18" s="9" t="s">
        <v>63</v>
      </c>
      <c r="F18" s="9" t="n">
        <v>413</v>
      </c>
      <c r="G18" s="8" t="s">
        <v>309</v>
      </c>
      <c r="H18" s="9" t="s">
        <v>71</v>
      </c>
      <c r="I18" s="9" t="n">
        <v>4</v>
      </c>
      <c r="J18" s="9"/>
      <c r="K18" s="9" t="n">
        <v>64</v>
      </c>
      <c r="L18" s="9" t="n">
        <v>104</v>
      </c>
      <c r="M18" s="9" t="n">
        <v>235</v>
      </c>
      <c r="N18" s="9"/>
      <c r="O18" s="9"/>
      <c r="P18" s="9"/>
      <c r="Q18" s="10" t="s">
        <v>62</v>
      </c>
      <c r="R18" s="9" t="str">
        <f aca="false">IF(Q18="Aprobada","Ya aprobada",IF(Q18="Cursada aprobada","Ya cursada",IF(AND(OR(L18="",COUNTIF($F$2:$F$29,L18)=0,COUNTIFS($F$2:$F$29,L18,$Q$2:$Q$29,"Aprobada")&gt;0,AND(Resumen!$B$15="La cursada aprobada",COUNTIFS($F$2:$F$29,L18,$Q$2:$Q$29,"Cursada aprobada")&gt;0)),OR(M18="",COUNTIF($F$2:$F$29,M18)=0,COUNTIFS($F$2:$F$29,M18,$Q$2:$Q$29,"Aprobada")&gt;0,AND(Resumen!$B$15="La cursada aprobada",COUNTIFS($F$2:$F$29,M18,$Q$2:$Q$29,"Cursada aprobada")&gt;0)),OR(N18="",COUNTIF($F$2:$F$29,N18)=0,COUNTIFS($F$2:$F$29,N18,$Q$2:$Q$29,"Aprobada")&gt;0,AND(Resumen!$B$15="La cursada aprobada",COUNTIFS($F$2:$F$29,N18,$Q$2:$Q$29,"Cursada aprobada")&gt;0)),OR(O18="",COUNTIF($F$2:$F$29,O18)=0,COUNTIFS($F$2:$F$29,O18,$Q$2:$Q$29,"Aprobada")&gt;0,AND(Resumen!$B$15="La cursada aprobada",COUNTIFS($F$2:$F$29,O18,$Q$2:$Q$29,"Cursada aprobada")&gt;0)),OR(P18="",COUNTIF($F$2:$F$29,P18)=0,COUNTIFS($F$2:$F$29,P18,$Q$2:$Q$29,"Aprobada")&gt;0,AND(Resumen!$B$15="La cursada aprobada",COUNTIFS($F$2:$F$29,P18,$Q$2:$Q$29,"Cursada aprobada")&gt;0))),"Sí","No")))</f>
        <v>No</v>
      </c>
      <c r="S18" s="8" t="str">
        <f aca="false">TRIM(IF(NOT(OR(L18="",COUNTIF($F$2:$F$29,L18)=0,COUNTIFS($F$2:$F$29,L18,$Q$2:$Q$29,"Aprobada")&gt;0,AND(Resumen!$B$15="La cursada aprobada",COUNTIFS($F$2:$F$29,L18,$Q$2:$Q$29,"Cursada aprobada")&gt;0))),L18&amp;" ","")&amp;IF(NOT(OR(M18="",COUNTIF($F$2:$F$29,M18)=0,COUNTIFS($F$2:$F$29,M18,$Q$2:$Q$29,"Aprobada")&gt;0,AND(Resumen!$B$15="La cursada aprobada",COUNTIFS($F$2:$F$29,M18,$Q$2:$Q$29,"Cursada aprobada")&gt;0))),M18&amp;" ","")&amp;IF(NOT(OR(N18="",COUNTIF($F$2:$F$29,N18)=0,COUNTIFS($F$2:$F$29,N18,$Q$2:$Q$29,"Aprobada")&gt;0,AND(Resumen!$B$15="La cursada aprobada",COUNTIFS($F$2:$F$29,N18,$Q$2:$Q$29,"Cursada aprobada")&gt;0))),N18&amp;" ","")&amp;IF(NOT(OR(O18="",COUNTIF($F$2:$F$29,O18)=0,COUNTIFS($F$2:$F$29,O18,$Q$2:$Q$29,"Aprobada")&gt;0,AND(Resumen!$B$15="La cursada aprobada",COUNTIFS($F$2:$F$29,O18,$Q$2:$Q$29,"Cursada aprobada")&gt;0))),O18&amp;" ","")&amp;IF(NOT(OR(P18="",COUNTIF($F$2:$F$29,P18)=0,COUNTIFS($F$2:$F$29,P18,$Q$2:$Q$29,"Aprobada")&gt;0,AND(Resumen!$B$15="La cursada aprobada",COUNTIFS($F$2:$F$29,P18,$Q$2:$Q$29,"Cursada aprobada")&gt;0))),P18&amp;" ",""))</f>
        <v>104 235</v>
      </c>
      <c r="T18" s="9" t="str">
        <f aca="false">IF(Q18="Cursada aprobada",IF(AND(OR(L18="",COUNTIF($F$2:$F$29,L18)=0,COUNTIFS($F$2:$F$29,L18,$Q$2:$Q$29,"Aprobada")&gt;0),OR(M18="",COUNTIF($F$2:$F$29,M18)=0,COUNTIFS($F$2:$F$29,M18,$Q$2:$Q$29,"Aprobada")&gt;0),OR(N18="",COUNTIF($F$2:$F$29,N18)=0,COUNTIFS($F$2:$F$29,N18,$Q$2:$Q$29,"Aprobada")&gt;0),OR(O18="",COUNTIF($F$2:$F$29,O18)=0,COUNTIFS($F$2:$F$29,O18,$Q$2:$Q$29,"Aprobada")&gt;0),OR(P18="",COUNTIF($F$2:$F$29,P18)=0,COUNTIFS($F$2:$F$29,P18,$Q$2:$Q$29,"Aprobada")&gt;0)),"Sí","No"),"")</f>
        <v/>
      </c>
      <c r="U18" s="9" t="str">
        <f aca="false">IF(Q18="Aprobada",TRIM(IF(NOT(OR(L18="",COUNTIF($F$2:$F$29,L18)=0,COUNTIFS($F$2:$F$29,L18,$Q$2:$Q$29,"Aprobada")&gt;0)),L18&amp;" ","")&amp;IF(NOT(OR(M18="",COUNTIF($F$2:$F$29,M18)=0,COUNTIFS($F$2:$F$29,M18,$Q$2:$Q$29,"Aprobada")&gt;0)),M18&amp;" ","")&amp;IF(NOT(OR(N18="",COUNTIF($F$2:$F$29,N18)=0,COUNTIFS($F$2:$F$29,N18,$Q$2:$Q$29,"Aprobada")&gt;0)),N18&amp;" ","")&amp;IF(NOT(OR(O18="",COUNTIF($F$2:$F$29,O18)=0,COUNTIFS($F$2:$F$29,O18,$Q$2:$Q$29,"Aprobada")&gt;0)),O18&amp;" ","")&amp;IF(NOT(OR(P18="",COUNTIF($F$2:$F$29,P18)=0,COUNTIFS($F$2:$F$29,P18,$Q$2:$Q$29,"Aprobada")&gt;0)),P18&amp;" ","")),IF(Q18="Cursada aprobada",TRIM(IF(NOT(OR(L18="",COUNTIF($F$2:$F$29,L18)=0,COUNTIFS($F$2:$F$29,L18,$Q$2:$Q$29,"Aprobada")&gt;0,AND(Resumen!$B$15="La cursada aprobada",COUNTIFS($F$2:$F$29,L18,$Q$2:$Q$29,"Cursada aprobada")&gt;0))),L18&amp;" ","")&amp;IF(NOT(OR(M18="",COUNTIF($F$2:$F$29,M18)=0,COUNTIFS($F$2:$F$29,M18,$Q$2:$Q$29,"Aprobada")&gt;0,AND(Resumen!$B$15="La cursada aprobada",COUNTIFS($F$2:$F$29,M18,$Q$2:$Q$29,"Cursada aprobada")&gt;0))),M18&amp;" ","")&amp;IF(NOT(OR(N18="",COUNTIF($F$2:$F$29,N18)=0,COUNTIFS($F$2:$F$29,N18,$Q$2:$Q$29,"Aprobada")&gt;0,AND(Resumen!$B$15="La cursada aprobada",COUNTIFS($F$2:$F$29,N18,$Q$2:$Q$29,"Cursada aprobada")&gt;0))),N18&amp;" ","")&amp;IF(NOT(OR(O18="",COUNTIF($F$2:$F$29,O18)=0,COUNTIFS($F$2:$F$29,O18,$Q$2:$Q$29,"Aprobada")&gt;0,AND(Resumen!$B$15="La cursada aprobada",COUNTIFS($F$2:$F$29,O18,$Q$2:$Q$29,"Cursada aprobada")&gt;0))),O18&amp;" ","")&amp;IF(NOT(OR(P18="",COUNTIF($F$2:$F$29,P18)=0,COUNTIFS($F$2:$F$29,P18,$Q$2:$Q$29,"Aprobada")&gt;0,AND(Resumen!$B$15="La cursada aprobada",COUNTIFS($F$2:$F$29,P18,$Q$2:$Q$29,"Cursada aprobada")&gt;0))),P18&amp;" ","")),""))</f>
        <v/>
      </c>
    </row>
    <row r="19" customFormat="false" ht="15" hidden="false" customHeight="false" outlineLevel="0" collapsed="false">
      <c r="A19" s="8" t="s">
        <v>58</v>
      </c>
      <c r="B19" s="8"/>
      <c r="C19" s="9" t="n">
        <v>3</v>
      </c>
      <c r="D19" s="9" t="n">
        <v>1</v>
      </c>
      <c r="E19" s="9" t="s">
        <v>174</v>
      </c>
      <c r="F19" s="9" t="n">
        <v>2003</v>
      </c>
      <c r="G19" s="8" t="s">
        <v>310</v>
      </c>
      <c r="H19" s="9" t="s">
        <v>92</v>
      </c>
      <c r="I19" s="9" t="n">
        <v>4</v>
      </c>
      <c r="J19" s="9"/>
      <c r="K19" s="9" t="n">
        <v>64</v>
      </c>
      <c r="L19" s="9" t="n">
        <v>235</v>
      </c>
      <c r="M19" s="9"/>
      <c r="N19" s="9"/>
      <c r="O19" s="9"/>
      <c r="P19" s="9"/>
      <c r="Q19" s="10" t="s">
        <v>62</v>
      </c>
      <c r="R19" s="9" t="str">
        <f aca="false">IF(Q19="Aprobada","Ya aprobada",IF(Q19="Cursada aprobada","Ya cursada",IF(AND(OR(L19="",COUNTIF($F$2:$F$29,L19)=0,COUNTIFS($F$2:$F$29,L19,$Q$2:$Q$29,"Aprobada")&gt;0,AND(Resumen!$B$15="La cursada aprobada",COUNTIFS($F$2:$F$29,L19,$Q$2:$Q$29,"Cursada aprobada")&gt;0)),OR(M19="",COUNTIF($F$2:$F$29,M19)=0,COUNTIFS($F$2:$F$29,M19,$Q$2:$Q$29,"Aprobada")&gt;0,AND(Resumen!$B$15="La cursada aprobada",COUNTIFS($F$2:$F$29,M19,$Q$2:$Q$29,"Cursada aprobada")&gt;0)),OR(N19="",COUNTIF($F$2:$F$29,N19)=0,COUNTIFS($F$2:$F$29,N19,$Q$2:$Q$29,"Aprobada")&gt;0,AND(Resumen!$B$15="La cursada aprobada",COUNTIFS($F$2:$F$29,N19,$Q$2:$Q$29,"Cursada aprobada")&gt;0)),OR(O19="",COUNTIF($F$2:$F$29,O19)=0,COUNTIFS($F$2:$F$29,O19,$Q$2:$Q$29,"Aprobada")&gt;0,AND(Resumen!$B$15="La cursada aprobada",COUNTIFS($F$2:$F$29,O19,$Q$2:$Q$29,"Cursada aprobada")&gt;0)),OR(P19="",COUNTIF($F$2:$F$29,P19)=0,COUNTIFS($F$2:$F$29,P19,$Q$2:$Q$29,"Aprobada")&gt;0,AND(Resumen!$B$15="La cursada aprobada",COUNTIFS($F$2:$F$29,P19,$Q$2:$Q$29,"Cursada aprobada")&gt;0))),"Sí","No")))</f>
        <v>No</v>
      </c>
      <c r="S19" s="8" t="str">
        <f aca="false">TRIM(IF(NOT(OR(L19="",COUNTIF($F$2:$F$29,L19)=0,COUNTIFS($F$2:$F$29,L19,$Q$2:$Q$29,"Aprobada")&gt;0,AND(Resumen!$B$15="La cursada aprobada",COUNTIFS($F$2:$F$29,L19,$Q$2:$Q$29,"Cursada aprobada")&gt;0))),L19&amp;" ","")&amp;IF(NOT(OR(M19="",COUNTIF($F$2:$F$29,M19)=0,COUNTIFS($F$2:$F$29,M19,$Q$2:$Q$29,"Aprobada")&gt;0,AND(Resumen!$B$15="La cursada aprobada",COUNTIFS($F$2:$F$29,M19,$Q$2:$Q$29,"Cursada aprobada")&gt;0))),M19&amp;" ","")&amp;IF(NOT(OR(N19="",COUNTIF($F$2:$F$29,N19)=0,COUNTIFS($F$2:$F$29,N19,$Q$2:$Q$29,"Aprobada")&gt;0,AND(Resumen!$B$15="La cursada aprobada",COUNTIFS($F$2:$F$29,N19,$Q$2:$Q$29,"Cursada aprobada")&gt;0))),N19&amp;" ","")&amp;IF(NOT(OR(O19="",COUNTIF($F$2:$F$29,O19)=0,COUNTIFS($F$2:$F$29,O19,$Q$2:$Q$29,"Aprobada")&gt;0,AND(Resumen!$B$15="La cursada aprobada",COUNTIFS($F$2:$F$29,O19,$Q$2:$Q$29,"Cursada aprobada")&gt;0))),O19&amp;" ","")&amp;IF(NOT(OR(P19="",COUNTIF($F$2:$F$29,P19)=0,COUNTIFS($F$2:$F$29,P19,$Q$2:$Q$29,"Aprobada")&gt;0,AND(Resumen!$B$15="La cursada aprobada",COUNTIFS($F$2:$F$29,P19,$Q$2:$Q$29,"Cursada aprobada")&gt;0))),P19&amp;" ",""))</f>
        <v>235</v>
      </c>
      <c r="T19" s="9" t="str">
        <f aca="false">IF(Q19="Cursada aprobada",IF(AND(OR(L19="",COUNTIF($F$2:$F$29,L19)=0,COUNTIFS($F$2:$F$29,L19,$Q$2:$Q$29,"Aprobada")&gt;0),OR(M19="",COUNTIF($F$2:$F$29,M19)=0,COUNTIFS($F$2:$F$29,M19,$Q$2:$Q$29,"Aprobada")&gt;0),OR(N19="",COUNTIF($F$2:$F$29,N19)=0,COUNTIFS($F$2:$F$29,N19,$Q$2:$Q$29,"Aprobada")&gt;0),OR(O19="",COUNTIF($F$2:$F$29,O19)=0,COUNTIFS($F$2:$F$29,O19,$Q$2:$Q$29,"Aprobada")&gt;0),OR(P19="",COUNTIF($F$2:$F$29,P19)=0,COUNTIFS($F$2:$F$29,P19,$Q$2:$Q$29,"Aprobada")&gt;0)),"Sí","No"),"")</f>
        <v/>
      </c>
      <c r="U19" s="9" t="str">
        <f aca="false">IF(Q19="Aprobada",TRIM(IF(NOT(OR(L19="",COUNTIF($F$2:$F$29,L19)=0,COUNTIFS($F$2:$F$29,L19,$Q$2:$Q$29,"Aprobada")&gt;0)),L19&amp;" ","")&amp;IF(NOT(OR(M19="",COUNTIF($F$2:$F$29,M19)=0,COUNTIFS($F$2:$F$29,M19,$Q$2:$Q$29,"Aprobada")&gt;0)),M19&amp;" ","")&amp;IF(NOT(OR(N19="",COUNTIF($F$2:$F$29,N19)=0,COUNTIFS($F$2:$F$29,N19,$Q$2:$Q$29,"Aprobada")&gt;0)),N19&amp;" ","")&amp;IF(NOT(OR(O19="",COUNTIF($F$2:$F$29,O19)=0,COUNTIFS($F$2:$F$29,O19,$Q$2:$Q$29,"Aprobada")&gt;0)),O19&amp;" ","")&amp;IF(NOT(OR(P19="",COUNTIF($F$2:$F$29,P19)=0,COUNTIFS($F$2:$F$29,P19,$Q$2:$Q$29,"Aprobada")&gt;0)),P19&amp;" ","")),IF(Q19="Cursada aprobada",TRIM(IF(NOT(OR(L19="",COUNTIF($F$2:$F$29,L19)=0,COUNTIFS($F$2:$F$29,L19,$Q$2:$Q$29,"Aprobada")&gt;0,AND(Resumen!$B$15="La cursada aprobada",COUNTIFS($F$2:$F$29,L19,$Q$2:$Q$29,"Cursada aprobada")&gt;0))),L19&amp;" ","")&amp;IF(NOT(OR(M19="",COUNTIF($F$2:$F$29,M19)=0,COUNTIFS($F$2:$F$29,M19,$Q$2:$Q$29,"Aprobada")&gt;0,AND(Resumen!$B$15="La cursada aprobada",COUNTIFS($F$2:$F$29,M19,$Q$2:$Q$29,"Cursada aprobada")&gt;0))),M19&amp;" ","")&amp;IF(NOT(OR(N19="",COUNTIF($F$2:$F$29,N19)=0,COUNTIFS($F$2:$F$29,N19,$Q$2:$Q$29,"Aprobada")&gt;0,AND(Resumen!$B$15="La cursada aprobada",COUNTIFS($F$2:$F$29,N19,$Q$2:$Q$29,"Cursada aprobada")&gt;0))),N19&amp;" ","")&amp;IF(NOT(OR(O19="",COUNTIF($F$2:$F$29,O19)=0,COUNTIFS($F$2:$F$29,O19,$Q$2:$Q$29,"Aprobada")&gt;0,AND(Resumen!$B$15="La cursada aprobada",COUNTIFS($F$2:$F$29,O19,$Q$2:$Q$29,"Cursada aprobada")&gt;0))),O19&amp;" ","")&amp;IF(NOT(OR(P19="",COUNTIF($F$2:$F$29,P19)=0,COUNTIFS($F$2:$F$29,P19,$Q$2:$Q$29,"Aprobada")&gt;0,AND(Resumen!$B$15="La cursada aprobada",COUNTIFS($F$2:$F$29,P19,$Q$2:$Q$29,"Cursada aprobada")&gt;0))),P19&amp;" ","")),""))</f>
        <v/>
      </c>
    </row>
    <row r="20" customFormat="false" ht="15" hidden="false" customHeight="false" outlineLevel="0" collapsed="false">
      <c r="A20" s="8" t="s">
        <v>58</v>
      </c>
      <c r="B20" s="8"/>
      <c r="C20" s="9" t="n">
        <v>3</v>
      </c>
      <c r="D20" s="9" t="n">
        <v>2</v>
      </c>
      <c r="E20" s="9" t="s">
        <v>174</v>
      </c>
      <c r="F20" s="9" t="n">
        <v>341</v>
      </c>
      <c r="G20" s="8" t="s">
        <v>311</v>
      </c>
      <c r="H20" s="9" t="s">
        <v>61</v>
      </c>
      <c r="I20" s="9" t="n">
        <v>4</v>
      </c>
      <c r="J20" s="9"/>
      <c r="K20" s="9" t="n">
        <v>64</v>
      </c>
      <c r="L20" s="9" t="n">
        <v>104</v>
      </c>
      <c r="M20" s="9" t="n">
        <v>235</v>
      </c>
      <c r="N20" s="9"/>
      <c r="O20" s="9"/>
      <c r="P20" s="9"/>
      <c r="Q20" s="10" t="s">
        <v>62</v>
      </c>
      <c r="R20" s="9" t="str">
        <f aca="false">IF(Q20="Aprobada","Ya aprobada",IF(Q20="Cursada aprobada","Ya cursada",IF(AND(OR(L20="",COUNTIF($F$2:$F$29,L20)=0,COUNTIFS($F$2:$F$29,L20,$Q$2:$Q$29,"Aprobada")&gt;0,AND(Resumen!$B$15="La cursada aprobada",COUNTIFS($F$2:$F$29,L20,$Q$2:$Q$29,"Cursada aprobada")&gt;0)),OR(M20="",COUNTIF($F$2:$F$29,M20)=0,COUNTIFS($F$2:$F$29,M20,$Q$2:$Q$29,"Aprobada")&gt;0,AND(Resumen!$B$15="La cursada aprobada",COUNTIFS($F$2:$F$29,M20,$Q$2:$Q$29,"Cursada aprobada")&gt;0)),OR(N20="",COUNTIF($F$2:$F$29,N20)=0,COUNTIFS($F$2:$F$29,N20,$Q$2:$Q$29,"Aprobada")&gt;0,AND(Resumen!$B$15="La cursada aprobada",COUNTIFS($F$2:$F$29,N20,$Q$2:$Q$29,"Cursada aprobada")&gt;0)),OR(O20="",COUNTIF($F$2:$F$29,O20)=0,COUNTIFS($F$2:$F$29,O20,$Q$2:$Q$29,"Aprobada")&gt;0,AND(Resumen!$B$15="La cursada aprobada",COUNTIFS($F$2:$F$29,O20,$Q$2:$Q$29,"Cursada aprobada")&gt;0)),OR(P20="",COUNTIF($F$2:$F$29,P20)=0,COUNTIFS($F$2:$F$29,P20,$Q$2:$Q$29,"Aprobada")&gt;0,AND(Resumen!$B$15="La cursada aprobada",COUNTIFS($F$2:$F$29,P20,$Q$2:$Q$29,"Cursada aprobada")&gt;0))),"Sí","No")))</f>
        <v>No</v>
      </c>
      <c r="S20" s="8" t="str">
        <f aca="false">TRIM(IF(NOT(OR(L20="",COUNTIF($F$2:$F$29,L20)=0,COUNTIFS($F$2:$F$29,L20,$Q$2:$Q$29,"Aprobada")&gt;0,AND(Resumen!$B$15="La cursada aprobada",COUNTIFS($F$2:$F$29,L20,$Q$2:$Q$29,"Cursada aprobada")&gt;0))),L20&amp;" ","")&amp;IF(NOT(OR(M20="",COUNTIF($F$2:$F$29,M20)=0,COUNTIFS($F$2:$F$29,M20,$Q$2:$Q$29,"Aprobada")&gt;0,AND(Resumen!$B$15="La cursada aprobada",COUNTIFS($F$2:$F$29,M20,$Q$2:$Q$29,"Cursada aprobada")&gt;0))),M20&amp;" ","")&amp;IF(NOT(OR(N20="",COUNTIF($F$2:$F$29,N20)=0,COUNTIFS($F$2:$F$29,N20,$Q$2:$Q$29,"Aprobada")&gt;0,AND(Resumen!$B$15="La cursada aprobada",COUNTIFS($F$2:$F$29,N20,$Q$2:$Q$29,"Cursada aprobada")&gt;0))),N20&amp;" ","")&amp;IF(NOT(OR(O20="",COUNTIF($F$2:$F$29,O20)=0,COUNTIFS($F$2:$F$29,O20,$Q$2:$Q$29,"Aprobada")&gt;0,AND(Resumen!$B$15="La cursada aprobada",COUNTIFS($F$2:$F$29,O20,$Q$2:$Q$29,"Cursada aprobada")&gt;0))),O20&amp;" ","")&amp;IF(NOT(OR(P20="",COUNTIF($F$2:$F$29,P20)=0,COUNTIFS($F$2:$F$29,P20,$Q$2:$Q$29,"Aprobada")&gt;0,AND(Resumen!$B$15="La cursada aprobada",COUNTIFS($F$2:$F$29,P20,$Q$2:$Q$29,"Cursada aprobada")&gt;0))),P20&amp;" ",""))</f>
        <v>104 235</v>
      </c>
      <c r="T20" s="9" t="str">
        <f aca="false">IF(Q20="Cursada aprobada",IF(AND(OR(L20="",COUNTIF($F$2:$F$29,L20)=0,COUNTIFS($F$2:$F$29,L20,$Q$2:$Q$29,"Aprobada")&gt;0),OR(M20="",COUNTIF($F$2:$F$29,M20)=0,COUNTIFS($F$2:$F$29,M20,$Q$2:$Q$29,"Aprobada")&gt;0),OR(N20="",COUNTIF($F$2:$F$29,N20)=0,COUNTIFS($F$2:$F$29,N20,$Q$2:$Q$29,"Aprobada")&gt;0),OR(O20="",COUNTIF($F$2:$F$29,O20)=0,COUNTIFS($F$2:$F$29,O20,$Q$2:$Q$29,"Aprobada")&gt;0),OR(P20="",COUNTIF($F$2:$F$29,P20)=0,COUNTIFS($F$2:$F$29,P20,$Q$2:$Q$29,"Aprobada")&gt;0)),"Sí","No"),"")</f>
        <v/>
      </c>
      <c r="U20" s="9" t="str">
        <f aca="false">IF(Q20="Aprobada",TRIM(IF(NOT(OR(L20="",COUNTIF($F$2:$F$29,L20)=0,COUNTIFS($F$2:$F$29,L20,$Q$2:$Q$29,"Aprobada")&gt;0)),L20&amp;" ","")&amp;IF(NOT(OR(M20="",COUNTIF($F$2:$F$29,M20)=0,COUNTIFS($F$2:$F$29,M20,$Q$2:$Q$29,"Aprobada")&gt;0)),M20&amp;" ","")&amp;IF(NOT(OR(N20="",COUNTIF($F$2:$F$29,N20)=0,COUNTIFS($F$2:$F$29,N20,$Q$2:$Q$29,"Aprobada")&gt;0)),N20&amp;" ","")&amp;IF(NOT(OR(O20="",COUNTIF($F$2:$F$29,O20)=0,COUNTIFS($F$2:$F$29,O20,$Q$2:$Q$29,"Aprobada")&gt;0)),O20&amp;" ","")&amp;IF(NOT(OR(P20="",COUNTIF($F$2:$F$29,P20)=0,COUNTIFS($F$2:$F$29,P20,$Q$2:$Q$29,"Aprobada")&gt;0)),P20&amp;" ","")),IF(Q20="Cursada aprobada",TRIM(IF(NOT(OR(L20="",COUNTIF($F$2:$F$29,L20)=0,COUNTIFS($F$2:$F$29,L20,$Q$2:$Q$29,"Aprobada")&gt;0,AND(Resumen!$B$15="La cursada aprobada",COUNTIFS($F$2:$F$29,L20,$Q$2:$Q$29,"Cursada aprobada")&gt;0))),L20&amp;" ","")&amp;IF(NOT(OR(M20="",COUNTIF($F$2:$F$29,M20)=0,COUNTIFS($F$2:$F$29,M20,$Q$2:$Q$29,"Aprobada")&gt;0,AND(Resumen!$B$15="La cursada aprobada",COUNTIFS($F$2:$F$29,M20,$Q$2:$Q$29,"Cursada aprobada")&gt;0))),M20&amp;" ","")&amp;IF(NOT(OR(N20="",COUNTIF($F$2:$F$29,N20)=0,COUNTIFS($F$2:$F$29,N20,$Q$2:$Q$29,"Aprobada")&gt;0,AND(Resumen!$B$15="La cursada aprobada",COUNTIFS($F$2:$F$29,N20,$Q$2:$Q$29,"Cursada aprobada")&gt;0))),N20&amp;" ","")&amp;IF(NOT(OR(O20="",COUNTIF($F$2:$F$29,O20)=0,COUNTIFS($F$2:$F$29,O20,$Q$2:$Q$29,"Aprobada")&gt;0,AND(Resumen!$B$15="La cursada aprobada",COUNTIFS($F$2:$F$29,O20,$Q$2:$Q$29,"Cursada aprobada")&gt;0))),O20&amp;" ","")&amp;IF(NOT(OR(P20="",COUNTIF($F$2:$F$29,P20)=0,COUNTIFS($F$2:$F$29,P20,$Q$2:$Q$29,"Aprobada")&gt;0,AND(Resumen!$B$15="La cursada aprobada",COUNTIFS($F$2:$F$29,P20,$Q$2:$Q$29,"Cursada aprobada")&gt;0))),P20&amp;" ","")),""))</f>
        <v/>
      </c>
    </row>
    <row r="21" customFormat="false" ht="15" hidden="false" customHeight="false" outlineLevel="0" collapsed="false">
      <c r="A21" s="8" t="s">
        <v>58</v>
      </c>
      <c r="B21" s="8"/>
      <c r="C21" s="9" t="n">
        <v>3</v>
      </c>
      <c r="D21" s="9" t="n">
        <v>2</v>
      </c>
      <c r="E21" s="9" t="s">
        <v>174</v>
      </c>
      <c r="F21" s="9" t="n">
        <v>2004</v>
      </c>
      <c r="G21" s="8" t="s">
        <v>312</v>
      </c>
      <c r="H21" s="9" t="s">
        <v>61</v>
      </c>
      <c r="I21" s="9" t="n">
        <v>4</v>
      </c>
      <c r="J21" s="9"/>
      <c r="K21" s="9" t="n">
        <v>64</v>
      </c>
      <c r="L21" s="9" t="n">
        <v>104</v>
      </c>
      <c r="M21" s="9" t="n">
        <v>2001</v>
      </c>
      <c r="N21" s="9"/>
      <c r="O21" s="9"/>
      <c r="P21" s="9"/>
      <c r="Q21" s="10" t="s">
        <v>62</v>
      </c>
      <c r="R21" s="9" t="str">
        <f aca="false">IF(Q21="Aprobada","Ya aprobada",IF(Q21="Cursada aprobada","Ya cursada",IF(AND(OR(L21="",COUNTIF($F$2:$F$29,L21)=0,COUNTIFS($F$2:$F$29,L21,$Q$2:$Q$29,"Aprobada")&gt;0,AND(Resumen!$B$15="La cursada aprobada",COUNTIFS($F$2:$F$29,L21,$Q$2:$Q$29,"Cursada aprobada")&gt;0)),OR(M21="",COUNTIF($F$2:$F$29,M21)=0,COUNTIFS($F$2:$F$29,M21,$Q$2:$Q$29,"Aprobada")&gt;0,AND(Resumen!$B$15="La cursada aprobada",COUNTIFS($F$2:$F$29,M21,$Q$2:$Q$29,"Cursada aprobada")&gt;0)),OR(N21="",COUNTIF($F$2:$F$29,N21)=0,COUNTIFS($F$2:$F$29,N21,$Q$2:$Q$29,"Aprobada")&gt;0,AND(Resumen!$B$15="La cursada aprobada",COUNTIFS($F$2:$F$29,N21,$Q$2:$Q$29,"Cursada aprobada")&gt;0)),OR(O21="",COUNTIF($F$2:$F$29,O21)=0,COUNTIFS($F$2:$F$29,O21,$Q$2:$Q$29,"Aprobada")&gt;0,AND(Resumen!$B$15="La cursada aprobada",COUNTIFS($F$2:$F$29,O21,$Q$2:$Q$29,"Cursada aprobada")&gt;0)),OR(P21="",COUNTIF($F$2:$F$29,P21)=0,COUNTIFS($F$2:$F$29,P21,$Q$2:$Q$29,"Aprobada")&gt;0,AND(Resumen!$B$15="La cursada aprobada",COUNTIFS($F$2:$F$29,P21,$Q$2:$Q$29,"Cursada aprobada")&gt;0))),"Sí","No")))</f>
        <v>No</v>
      </c>
      <c r="S21" s="8" t="str">
        <f aca="false">TRIM(IF(NOT(OR(L21="",COUNTIF($F$2:$F$29,L21)=0,COUNTIFS($F$2:$F$29,L21,$Q$2:$Q$29,"Aprobada")&gt;0,AND(Resumen!$B$15="La cursada aprobada",COUNTIFS($F$2:$F$29,L21,$Q$2:$Q$29,"Cursada aprobada")&gt;0))),L21&amp;" ","")&amp;IF(NOT(OR(M21="",COUNTIF($F$2:$F$29,M21)=0,COUNTIFS($F$2:$F$29,M21,$Q$2:$Q$29,"Aprobada")&gt;0,AND(Resumen!$B$15="La cursada aprobada",COUNTIFS($F$2:$F$29,M21,$Q$2:$Q$29,"Cursada aprobada")&gt;0))),M21&amp;" ","")&amp;IF(NOT(OR(N21="",COUNTIF($F$2:$F$29,N21)=0,COUNTIFS($F$2:$F$29,N21,$Q$2:$Q$29,"Aprobada")&gt;0,AND(Resumen!$B$15="La cursada aprobada",COUNTIFS($F$2:$F$29,N21,$Q$2:$Q$29,"Cursada aprobada")&gt;0))),N21&amp;" ","")&amp;IF(NOT(OR(O21="",COUNTIF($F$2:$F$29,O21)=0,COUNTIFS($F$2:$F$29,O21,$Q$2:$Q$29,"Aprobada")&gt;0,AND(Resumen!$B$15="La cursada aprobada",COUNTIFS($F$2:$F$29,O21,$Q$2:$Q$29,"Cursada aprobada")&gt;0))),O21&amp;" ","")&amp;IF(NOT(OR(P21="",COUNTIF($F$2:$F$29,P21)=0,COUNTIFS($F$2:$F$29,P21,$Q$2:$Q$29,"Aprobada")&gt;0,AND(Resumen!$B$15="La cursada aprobada",COUNTIFS($F$2:$F$29,P21,$Q$2:$Q$29,"Cursada aprobada")&gt;0))),P21&amp;" ",""))</f>
        <v>104 2001</v>
      </c>
      <c r="T21" s="9" t="str">
        <f aca="false">IF(Q21="Cursada aprobada",IF(AND(OR(L21="",COUNTIF($F$2:$F$29,L21)=0,COUNTIFS($F$2:$F$29,L21,$Q$2:$Q$29,"Aprobada")&gt;0),OR(M21="",COUNTIF($F$2:$F$29,M21)=0,COUNTIFS($F$2:$F$29,M21,$Q$2:$Q$29,"Aprobada")&gt;0),OR(N21="",COUNTIF($F$2:$F$29,N21)=0,COUNTIFS($F$2:$F$29,N21,$Q$2:$Q$29,"Aprobada")&gt;0),OR(O21="",COUNTIF($F$2:$F$29,O21)=0,COUNTIFS($F$2:$F$29,O21,$Q$2:$Q$29,"Aprobada")&gt;0),OR(P21="",COUNTIF($F$2:$F$29,P21)=0,COUNTIFS($F$2:$F$29,P21,$Q$2:$Q$29,"Aprobada")&gt;0)),"Sí","No"),"")</f>
        <v/>
      </c>
      <c r="U21" s="9" t="str">
        <f aca="false">IF(Q21="Aprobada",TRIM(IF(NOT(OR(L21="",COUNTIF($F$2:$F$29,L21)=0,COUNTIFS($F$2:$F$29,L21,$Q$2:$Q$29,"Aprobada")&gt;0)),L21&amp;" ","")&amp;IF(NOT(OR(M21="",COUNTIF($F$2:$F$29,M21)=0,COUNTIFS($F$2:$F$29,M21,$Q$2:$Q$29,"Aprobada")&gt;0)),M21&amp;" ","")&amp;IF(NOT(OR(N21="",COUNTIF($F$2:$F$29,N21)=0,COUNTIFS($F$2:$F$29,N21,$Q$2:$Q$29,"Aprobada")&gt;0)),N21&amp;" ","")&amp;IF(NOT(OR(O21="",COUNTIF($F$2:$F$29,O21)=0,COUNTIFS($F$2:$F$29,O21,$Q$2:$Q$29,"Aprobada")&gt;0)),O21&amp;" ","")&amp;IF(NOT(OR(P21="",COUNTIF($F$2:$F$29,P21)=0,COUNTIFS($F$2:$F$29,P21,$Q$2:$Q$29,"Aprobada")&gt;0)),P21&amp;" ","")),IF(Q21="Cursada aprobada",TRIM(IF(NOT(OR(L21="",COUNTIF($F$2:$F$29,L21)=0,COUNTIFS($F$2:$F$29,L21,$Q$2:$Q$29,"Aprobada")&gt;0,AND(Resumen!$B$15="La cursada aprobada",COUNTIFS($F$2:$F$29,L21,$Q$2:$Q$29,"Cursada aprobada")&gt;0))),L21&amp;" ","")&amp;IF(NOT(OR(M21="",COUNTIF($F$2:$F$29,M21)=0,COUNTIFS($F$2:$F$29,M21,$Q$2:$Q$29,"Aprobada")&gt;0,AND(Resumen!$B$15="La cursada aprobada",COUNTIFS($F$2:$F$29,M21,$Q$2:$Q$29,"Cursada aprobada")&gt;0))),M21&amp;" ","")&amp;IF(NOT(OR(N21="",COUNTIF($F$2:$F$29,N21)=0,COUNTIFS($F$2:$F$29,N21,$Q$2:$Q$29,"Aprobada")&gt;0,AND(Resumen!$B$15="La cursada aprobada",COUNTIFS($F$2:$F$29,N21,$Q$2:$Q$29,"Cursada aprobada")&gt;0))),N21&amp;" ","")&amp;IF(NOT(OR(O21="",COUNTIF($F$2:$F$29,O21)=0,COUNTIFS($F$2:$F$29,O21,$Q$2:$Q$29,"Aprobada")&gt;0,AND(Resumen!$B$15="La cursada aprobada",COUNTIFS($F$2:$F$29,O21,$Q$2:$Q$29,"Cursada aprobada")&gt;0))),O21&amp;" ","")&amp;IF(NOT(OR(P21="",COUNTIF($F$2:$F$29,P21)=0,COUNTIFS($F$2:$F$29,P21,$Q$2:$Q$29,"Aprobada")&gt;0,AND(Resumen!$B$15="La cursada aprobada",COUNTIFS($F$2:$F$29,P21,$Q$2:$Q$29,"Cursada aprobada")&gt;0))),P21&amp;" ","")),""))</f>
        <v/>
      </c>
    </row>
    <row r="22" customFormat="false" ht="15" hidden="false" customHeight="false" outlineLevel="0" collapsed="false">
      <c r="A22" s="8" t="s">
        <v>58</v>
      </c>
      <c r="B22" s="8"/>
      <c r="C22" s="9" t="n">
        <v>3</v>
      </c>
      <c r="D22" s="9" t="n">
        <v>2</v>
      </c>
      <c r="E22" s="9" t="s">
        <v>174</v>
      </c>
      <c r="F22" s="9" t="n">
        <v>2005</v>
      </c>
      <c r="G22" s="8" t="s">
        <v>313</v>
      </c>
      <c r="H22" s="9" t="s">
        <v>92</v>
      </c>
      <c r="I22" s="9" t="n">
        <v>4</v>
      </c>
      <c r="J22" s="9"/>
      <c r="K22" s="9" t="n">
        <v>64</v>
      </c>
      <c r="L22" s="9" t="n">
        <v>391</v>
      </c>
      <c r="M22" s="9"/>
      <c r="N22" s="9"/>
      <c r="O22" s="9"/>
      <c r="P22" s="9"/>
      <c r="Q22" s="10" t="s">
        <v>62</v>
      </c>
      <c r="R22" s="9" t="str">
        <f aca="false">IF(Q22="Aprobada","Ya aprobada",IF(Q22="Cursada aprobada","Ya cursada",IF(AND(OR(L22="",COUNTIF($F$2:$F$29,L22)=0,COUNTIFS($F$2:$F$29,L22,$Q$2:$Q$29,"Aprobada")&gt;0,AND(Resumen!$B$15="La cursada aprobada",COUNTIFS($F$2:$F$29,L22,$Q$2:$Q$29,"Cursada aprobada")&gt;0)),OR(M22="",COUNTIF($F$2:$F$29,M22)=0,COUNTIFS($F$2:$F$29,M22,$Q$2:$Q$29,"Aprobada")&gt;0,AND(Resumen!$B$15="La cursada aprobada",COUNTIFS($F$2:$F$29,M22,$Q$2:$Q$29,"Cursada aprobada")&gt;0)),OR(N22="",COUNTIF($F$2:$F$29,N22)=0,COUNTIFS($F$2:$F$29,N22,$Q$2:$Q$29,"Aprobada")&gt;0,AND(Resumen!$B$15="La cursada aprobada",COUNTIFS($F$2:$F$29,N22,$Q$2:$Q$29,"Cursada aprobada")&gt;0)),OR(O22="",COUNTIF($F$2:$F$29,O22)=0,COUNTIFS($F$2:$F$29,O22,$Q$2:$Q$29,"Aprobada")&gt;0,AND(Resumen!$B$15="La cursada aprobada",COUNTIFS($F$2:$F$29,O22,$Q$2:$Q$29,"Cursada aprobada")&gt;0)),OR(P22="",COUNTIF($F$2:$F$29,P22)=0,COUNTIFS($F$2:$F$29,P22,$Q$2:$Q$29,"Aprobada")&gt;0,AND(Resumen!$B$15="La cursada aprobada",COUNTIFS($F$2:$F$29,P22,$Q$2:$Q$29,"Cursada aprobada")&gt;0))),"Sí","No")))</f>
        <v>No</v>
      </c>
      <c r="S22" s="8" t="str">
        <f aca="false">TRIM(IF(NOT(OR(L22="",COUNTIF($F$2:$F$29,L22)=0,COUNTIFS($F$2:$F$29,L22,$Q$2:$Q$29,"Aprobada")&gt;0,AND(Resumen!$B$15="La cursada aprobada",COUNTIFS($F$2:$F$29,L22,$Q$2:$Q$29,"Cursada aprobada")&gt;0))),L22&amp;" ","")&amp;IF(NOT(OR(M22="",COUNTIF($F$2:$F$29,M22)=0,COUNTIFS($F$2:$F$29,M22,$Q$2:$Q$29,"Aprobada")&gt;0,AND(Resumen!$B$15="La cursada aprobada",COUNTIFS($F$2:$F$29,M22,$Q$2:$Q$29,"Cursada aprobada")&gt;0))),M22&amp;" ","")&amp;IF(NOT(OR(N22="",COUNTIF($F$2:$F$29,N22)=0,COUNTIFS($F$2:$F$29,N22,$Q$2:$Q$29,"Aprobada")&gt;0,AND(Resumen!$B$15="La cursada aprobada",COUNTIFS($F$2:$F$29,N22,$Q$2:$Q$29,"Cursada aprobada")&gt;0))),N22&amp;" ","")&amp;IF(NOT(OR(O22="",COUNTIF($F$2:$F$29,O22)=0,COUNTIFS($F$2:$F$29,O22,$Q$2:$Q$29,"Aprobada")&gt;0,AND(Resumen!$B$15="La cursada aprobada",COUNTIFS($F$2:$F$29,O22,$Q$2:$Q$29,"Cursada aprobada")&gt;0))),O22&amp;" ","")&amp;IF(NOT(OR(P22="",COUNTIF($F$2:$F$29,P22)=0,COUNTIFS($F$2:$F$29,P22,$Q$2:$Q$29,"Aprobada")&gt;0,AND(Resumen!$B$15="La cursada aprobada",COUNTIFS($F$2:$F$29,P22,$Q$2:$Q$29,"Cursada aprobada")&gt;0))),P22&amp;" ",""))</f>
        <v>391</v>
      </c>
      <c r="T22" s="9" t="str">
        <f aca="false">IF(Q22="Cursada aprobada",IF(AND(OR(L22="",COUNTIF($F$2:$F$29,L22)=0,COUNTIFS($F$2:$F$29,L22,$Q$2:$Q$29,"Aprobada")&gt;0),OR(M22="",COUNTIF($F$2:$F$29,M22)=0,COUNTIFS($F$2:$F$29,M22,$Q$2:$Q$29,"Aprobada")&gt;0),OR(N22="",COUNTIF($F$2:$F$29,N22)=0,COUNTIFS($F$2:$F$29,N22,$Q$2:$Q$29,"Aprobada")&gt;0),OR(O22="",COUNTIF($F$2:$F$29,O22)=0,COUNTIFS($F$2:$F$29,O22,$Q$2:$Q$29,"Aprobada")&gt;0),OR(P22="",COUNTIF($F$2:$F$29,P22)=0,COUNTIFS($F$2:$F$29,P22,$Q$2:$Q$29,"Aprobada")&gt;0)),"Sí","No"),"")</f>
        <v/>
      </c>
      <c r="U22" s="9" t="str">
        <f aca="false">IF(Q22="Aprobada",TRIM(IF(NOT(OR(L22="",COUNTIF($F$2:$F$29,L22)=0,COUNTIFS($F$2:$F$29,L22,$Q$2:$Q$29,"Aprobada")&gt;0)),L22&amp;" ","")&amp;IF(NOT(OR(M22="",COUNTIF($F$2:$F$29,M22)=0,COUNTIFS($F$2:$F$29,M22,$Q$2:$Q$29,"Aprobada")&gt;0)),M22&amp;" ","")&amp;IF(NOT(OR(N22="",COUNTIF($F$2:$F$29,N22)=0,COUNTIFS($F$2:$F$29,N22,$Q$2:$Q$29,"Aprobada")&gt;0)),N22&amp;" ","")&amp;IF(NOT(OR(O22="",COUNTIF($F$2:$F$29,O22)=0,COUNTIFS($F$2:$F$29,O22,$Q$2:$Q$29,"Aprobada")&gt;0)),O22&amp;" ","")&amp;IF(NOT(OR(P22="",COUNTIF($F$2:$F$29,P22)=0,COUNTIFS($F$2:$F$29,P22,$Q$2:$Q$29,"Aprobada")&gt;0)),P22&amp;" ","")),IF(Q22="Cursada aprobada",TRIM(IF(NOT(OR(L22="",COUNTIF($F$2:$F$29,L22)=0,COUNTIFS($F$2:$F$29,L22,$Q$2:$Q$29,"Aprobada")&gt;0,AND(Resumen!$B$15="La cursada aprobada",COUNTIFS($F$2:$F$29,L22,$Q$2:$Q$29,"Cursada aprobada")&gt;0))),L22&amp;" ","")&amp;IF(NOT(OR(M22="",COUNTIF($F$2:$F$29,M22)=0,COUNTIFS($F$2:$F$29,M22,$Q$2:$Q$29,"Aprobada")&gt;0,AND(Resumen!$B$15="La cursada aprobada",COUNTIFS($F$2:$F$29,M22,$Q$2:$Q$29,"Cursada aprobada")&gt;0))),M22&amp;" ","")&amp;IF(NOT(OR(N22="",COUNTIF($F$2:$F$29,N22)=0,COUNTIFS($F$2:$F$29,N22,$Q$2:$Q$29,"Aprobada")&gt;0,AND(Resumen!$B$15="La cursada aprobada",COUNTIFS($F$2:$F$29,N22,$Q$2:$Q$29,"Cursada aprobada")&gt;0))),N22&amp;" ","")&amp;IF(NOT(OR(O22="",COUNTIF($F$2:$F$29,O22)=0,COUNTIFS($F$2:$F$29,O22,$Q$2:$Q$29,"Aprobada")&gt;0,AND(Resumen!$B$15="La cursada aprobada",COUNTIFS($F$2:$F$29,O22,$Q$2:$Q$29,"Cursada aprobada")&gt;0))),O22&amp;" ","")&amp;IF(NOT(OR(P22="",COUNTIF($F$2:$F$29,P22)=0,COUNTIFS($F$2:$F$29,P22,$Q$2:$Q$29,"Aprobada")&gt;0,AND(Resumen!$B$15="La cursada aprobada",COUNTIFS($F$2:$F$29,P22,$Q$2:$Q$29,"Cursada aprobada")&gt;0))),P22&amp;" ","")),""))</f>
        <v/>
      </c>
    </row>
    <row r="23" customFormat="false" ht="15" hidden="false" customHeight="false" outlineLevel="0" collapsed="false">
      <c r="A23" s="8" t="s">
        <v>116</v>
      </c>
      <c r="B23" s="8"/>
      <c r="C23" s="9"/>
      <c r="D23" s="9"/>
      <c r="E23" s="9" t="s">
        <v>99</v>
      </c>
      <c r="F23" s="9" t="n">
        <v>596</v>
      </c>
      <c r="G23" s="8" t="s">
        <v>314</v>
      </c>
      <c r="H23" s="9"/>
      <c r="I23" s="9" t="n">
        <v>4</v>
      </c>
      <c r="J23" s="9"/>
      <c r="K23" s="9" t="n">
        <v>64</v>
      </c>
      <c r="L23" s="9"/>
      <c r="M23" s="9"/>
      <c r="N23" s="9"/>
      <c r="O23" s="9"/>
      <c r="P23" s="9"/>
      <c r="Q23" s="10" t="s">
        <v>62</v>
      </c>
      <c r="R23" s="9" t="str">
        <f aca="false">IF(Q23="Aprobada","Ya aprobada",IF(Q23="Cursada aprobada","Ya cursada",IF(AND(OR(L23="",COUNTIF($F$2:$F$29,L23)=0,COUNTIFS($F$2:$F$29,L23,$Q$2:$Q$29,"Aprobada")&gt;0,AND(Resumen!$B$15="La cursada aprobada",COUNTIFS($F$2:$F$29,L23,$Q$2:$Q$29,"Cursada aprobada")&gt;0)),OR(M23="",COUNTIF($F$2:$F$29,M23)=0,COUNTIFS($F$2:$F$29,M23,$Q$2:$Q$29,"Aprobada")&gt;0,AND(Resumen!$B$15="La cursada aprobada",COUNTIFS($F$2:$F$29,M23,$Q$2:$Q$29,"Cursada aprobada")&gt;0)),OR(N23="",COUNTIF($F$2:$F$29,N23)=0,COUNTIFS($F$2:$F$29,N23,$Q$2:$Q$29,"Aprobada")&gt;0,AND(Resumen!$B$15="La cursada aprobada",COUNTIFS($F$2:$F$29,N23,$Q$2:$Q$29,"Cursada aprobada")&gt;0)),OR(O23="",COUNTIF($F$2:$F$29,O23)=0,COUNTIFS($F$2:$F$29,O23,$Q$2:$Q$29,"Aprobada")&gt;0,AND(Resumen!$B$15="La cursada aprobada",COUNTIFS($F$2:$F$29,O23,$Q$2:$Q$29,"Cursada aprobada")&gt;0)),OR(P23="",COUNTIF($F$2:$F$29,P23)=0,COUNTIFS($F$2:$F$29,P23,$Q$2:$Q$29,"Aprobada")&gt;0,AND(Resumen!$B$15="La cursada aprobada",COUNTIFS($F$2:$F$29,P23,$Q$2:$Q$29,"Cursada aprobada")&gt;0))),"Sí","No")))</f>
        <v>Sí</v>
      </c>
      <c r="S23" s="8" t="str">
        <f aca="false">TRIM(IF(NOT(OR(L23="",COUNTIF($F$2:$F$29,L23)=0,COUNTIFS($F$2:$F$29,L23,$Q$2:$Q$29,"Aprobada")&gt;0,AND(Resumen!$B$15="La cursada aprobada",COUNTIFS($F$2:$F$29,L23,$Q$2:$Q$29,"Cursada aprobada")&gt;0))),L23&amp;" ","")&amp;IF(NOT(OR(M23="",COUNTIF($F$2:$F$29,M23)=0,COUNTIFS($F$2:$F$29,M23,$Q$2:$Q$29,"Aprobada")&gt;0,AND(Resumen!$B$15="La cursada aprobada",COUNTIFS($F$2:$F$29,M23,$Q$2:$Q$29,"Cursada aprobada")&gt;0))),M23&amp;" ","")&amp;IF(NOT(OR(N23="",COUNTIF($F$2:$F$29,N23)=0,COUNTIFS($F$2:$F$29,N23,$Q$2:$Q$29,"Aprobada")&gt;0,AND(Resumen!$B$15="La cursada aprobada",COUNTIFS($F$2:$F$29,N23,$Q$2:$Q$29,"Cursada aprobada")&gt;0))),N23&amp;" ","")&amp;IF(NOT(OR(O23="",COUNTIF($F$2:$F$29,O23)=0,COUNTIFS($F$2:$F$29,O23,$Q$2:$Q$29,"Aprobada")&gt;0,AND(Resumen!$B$15="La cursada aprobada",COUNTIFS($F$2:$F$29,O23,$Q$2:$Q$29,"Cursada aprobada")&gt;0))),O23&amp;" ","")&amp;IF(NOT(OR(P23="",COUNTIF($F$2:$F$29,P23)=0,COUNTIFS($F$2:$F$29,P23,$Q$2:$Q$29,"Aprobada")&gt;0,AND(Resumen!$B$15="La cursada aprobada",COUNTIFS($F$2:$F$29,P23,$Q$2:$Q$29,"Cursada aprobada")&gt;0))),P23&amp;" ",""))</f>
        <v/>
      </c>
      <c r="T23" s="9" t="str">
        <f aca="false">IF(Q23="Cursada aprobada",IF(AND(OR(L23="",COUNTIF($F$2:$F$29,L23)=0,COUNTIFS($F$2:$F$29,L23,$Q$2:$Q$29,"Aprobada")&gt;0),OR(M23="",COUNTIF($F$2:$F$29,M23)=0,COUNTIFS($F$2:$F$29,M23,$Q$2:$Q$29,"Aprobada")&gt;0),OR(N23="",COUNTIF($F$2:$F$29,N23)=0,COUNTIFS($F$2:$F$29,N23,$Q$2:$Q$29,"Aprobada")&gt;0),OR(O23="",COUNTIF($F$2:$F$29,O23)=0,COUNTIFS($F$2:$F$29,O23,$Q$2:$Q$29,"Aprobada")&gt;0),OR(P23="",COUNTIF($F$2:$F$29,P23)=0,COUNTIFS($F$2:$F$29,P23,$Q$2:$Q$29,"Aprobada")&gt;0)),"Sí","No"),"")</f>
        <v/>
      </c>
      <c r="U23" s="9" t="str">
        <f aca="false">IF(Q23="Aprobada",TRIM(IF(NOT(OR(L23="",COUNTIF($F$2:$F$29,L23)=0,COUNTIFS($F$2:$F$29,L23,$Q$2:$Q$29,"Aprobada")&gt;0)),L23&amp;" ","")&amp;IF(NOT(OR(M23="",COUNTIF($F$2:$F$29,M23)=0,COUNTIFS($F$2:$F$29,M23,$Q$2:$Q$29,"Aprobada")&gt;0)),M23&amp;" ","")&amp;IF(NOT(OR(N23="",COUNTIF($F$2:$F$29,N23)=0,COUNTIFS($F$2:$F$29,N23,$Q$2:$Q$29,"Aprobada")&gt;0)),N23&amp;" ","")&amp;IF(NOT(OR(O23="",COUNTIF($F$2:$F$29,O23)=0,COUNTIFS($F$2:$F$29,O23,$Q$2:$Q$29,"Aprobada")&gt;0)),O23&amp;" ","")&amp;IF(NOT(OR(P23="",COUNTIF($F$2:$F$29,P23)=0,COUNTIFS($F$2:$F$29,P23,$Q$2:$Q$29,"Aprobada")&gt;0)),P23&amp;" ","")),IF(Q23="Cursada aprobada",TRIM(IF(NOT(OR(L23="",COUNTIF($F$2:$F$29,L23)=0,COUNTIFS($F$2:$F$29,L23,$Q$2:$Q$29,"Aprobada")&gt;0,AND(Resumen!$B$15="La cursada aprobada",COUNTIFS($F$2:$F$29,L23,$Q$2:$Q$29,"Cursada aprobada")&gt;0))),L23&amp;" ","")&amp;IF(NOT(OR(M23="",COUNTIF($F$2:$F$29,M23)=0,COUNTIFS($F$2:$F$29,M23,$Q$2:$Q$29,"Aprobada")&gt;0,AND(Resumen!$B$15="La cursada aprobada",COUNTIFS($F$2:$F$29,M23,$Q$2:$Q$29,"Cursada aprobada")&gt;0))),M23&amp;" ","")&amp;IF(NOT(OR(N23="",COUNTIF($F$2:$F$29,N23)=0,COUNTIFS($F$2:$F$29,N23,$Q$2:$Q$29,"Aprobada")&gt;0,AND(Resumen!$B$15="La cursada aprobada",COUNTIFS($F$2:$F$29,N23,$Q$2:$Q$29,"Cursada aprobada")&gt;0))),N23&amp;" ","")&amp;IF(NOT(OR(O23="",COUNTIF($F$2:$F$29,O23)=0,COUNTIFS($F$2:$F$29,O23,$Q$2:$Q$29,"Aprobada")&gt;0,AND(Resumen!$B$15="La cursada aprobada",COUNTIFS($F$2:$F$29,O23,$Q$2:$Q$29,"Cursada aprobada")&gt;0))),O23&amp;" ","")&amp;IF(NOT(OR(P23="",COUNTIF($F$2:$F$29,P23)=0,COUNTIFS($F$2:$F$29,P23,$Q$2:$Q$29,"Aprobada")&gt;0,AND(Resumen!$B$15="La cursada aprobada",COUNTIFS($F$2:$F$29,P23,$Q$2:$Q$29,"Cursada aprobada")&gt;0))),P23&amp;" ","")),""))</f>
        <v/>
      </c>
    </row>
    <row r="24" customFormat="false" ht="15" hidden="false" customHeight="false" outlineLevel="0" collapsed="false">
      <c r="A24" s="8" t="s">
        <v>116</v>
      </c>
      <c r="B24" s="8"/>
      <c r="C24" s="9"/>
      <c r="D24" s="9"/>
      <c r="E24" s="9" t="s">
        <v>99</v>
      </c>
      <c r="F24" s="9" t="n">
        <v>597</v>
      </c>
      <c r="G24" s="8" t="s">
        <v>315</v>
      </c>
      <c r="H24" s="9"/>
      <c r="I24" s="9" t="n">
        <v>4</v>
      </c>
      <c r="J24" s="9"/>
      <c r="K24" s="9" t="n">
        <v>64</v>
      </c>
      <c r="L24" s="9"/>
      <c r="M24" s="9"/>
      <c r="N24" s="9"/>
      <c r="O24" s="9"/>
      <c r="P24" s="9"/>
      <c r="Q24" s="10" t="s">
        <v>62</v>
      </c>
      <c r="R24" s="9" t="str">
        <f aca="false">IF(Q24="Aprobada","Ya aprobada",IF(Q24="Cursada aprobada","Ya cursada",IF(AND(OR(L24="",COUNTIF($F$2:$F$29,L24)=0,COUNTIFS($F$2:$F$29,L24,$Q$2:$Q$29,"Aprobada")&gt;0,AND(Resumen!$B$15="La cursada aprobada",COUNTIFS($F$2:$F$29,L24,$Q$2:$Q$29,"Cursada aprobada")&gt;0)),OR(M24="",COUNTIF($F$2:$F$29,M24)=0,COUNTIFS($F$2:$F$29,M24,$Q$2:$Q$29,"Aprobada")&gt;0,AND(Resumen!$B$15="La cursada aprobada",COUNTIFS($F$2:$F$29,M24,$Q$2:$Q$29,"Cursada aprobada")&gt;0)),OR(N24="",COUNTIF($F$2:$F$29,N24)=0,COUNTIFS($F$2:$F$29,N24,$Q$2:$Q$29,"Aprobada")&gt;0,AND(Resumen!$B$15="La cursada aprobada",COUNTIFS($F$2:$F$29,N24,$Q$2:$Q$29,"Cursada aprobada")&gt;0)),OR(O24="",COUNTIF($F$2:$F$29,O24)=0,COUNTIFS($F$2:$F$29,O24,$Q$2:$Q$29,"Aprobada")&gt;0,AND(Resumen!$B$15="La cursada aprobada",COUNTIFS($F$2:$F$29,O24,$Q$2:$Q$29,"Cursada aprobada")&gt;0)),OR(P24="",COUNTIF($F$2:$F$29,P24)=0,COUNTIFS($F$2:$F$29,P24,$Q$2:$Q$29,"Aprobada")&gt;0,AND(Resumen!$B$15="La cursada aprobada",COUNTIFS($F$2:$F$29,P24,$Q$2:$Q$29,"Cursada aprobada")&gt;0))),"Sí","No")))</f>
        <v>Sí</v>
      </c>
      <c r="S24" s="8" t="str">
        <f aca="false">TRIM(IF(NOT(OR(L24="",COUNTIF($F$2:$F$29,L24)=0,COUNTIFS($F$2:$F$29,L24,$Q$2:$Q$29,"Aprobada")&gt;0,AND(Resumen!$B$15="La cursada aprobada",COUNTIFS($F$2:$F$29,L24,$Q$2:$Q$29,"Cursada aprobada")&gt;0))),L24&amp;" ","")&amp;IF(NOT(OR(M24="",COUNTIF($F$2:$F$29,M24)=0,COUNTIFS($F$2:$F$29,M24,$Q$2:$Q$29,"Aprobada")&gt;0,AND(Resumen!$B$15="La cursada aprobada",COUNTIFS($F$2:$F$29,M24,$Q$2:$Q$29,"Cursada aprobada")&gt;0))),M24&amp;" ","")&amp;IF(NOT(OR(N24="",COUNTIF($F$2:$F$29,N24)=0,COUNTIFS($F$2:$F$29,N24,$Q$2:$Q$29,"Aprobada")&gt;0,AND(Resumen!$B$15="La cursada aprobada",COUNTIFS($F$2:$F$29,N24,$Q$2:$Q$29,"Cursada aprobada")&gt;0))),N24&amp;" ","")&amp;IF(NOT(OR(O24="",COUNTIF($F$2:$F$29,O24)=0,COUNTIFS($F$2:$F$29,O24,$Q$2:$Q$29,"Aprobada")&gt;0,AND(Resumen!$B$15="La cursada aprobada",COUNTIFS($F$2:$F$29,O24,$Q$2:$Q$29,"Cursada aprobada")&gt;0))),O24&amp;" ","")&amp;IF(NOT(OR(P24="",COUNTIF($F$2:$F$29,P24)=0,COUNTIFS($F$2:$F$29,P24,$Q$2:$Q$29,"Aprobada")&gt;0,AND(Resumen!$B$15="La cursada aprobada",COUNTIFS($F$2:$F$29,P24,$Q$2:$Q$29,"Cursada aprobada")&gt;0))),P24&amp;" ",""))</f>
        <v/>
      </c>
      <c r="T24" s="9" t="str">
        <f aca="false">IF(Q24="Cursada aprobada",IF(AND(OR(L24="",COUNTIF($F$2:$F$29,L24)=0,COUNTIFS($F$2:$F$29,L24,$Q$2:$Q$29,"Aprobada")&gt;0),OR(M24="",COUNTIF($F$2:$F$29,M24)=0,COUNTIFS($F$2:$F$29,M24,$Q$2:$Q$29,"Aprobada")&gt;0),OR(N24="",COUNTIF($F$2:$F$29,N24)=0,COUNTIFS($F$2:$F$29,N24,$Q$2:$Q$29,"Aprobada")&gt;0),OR(O24="",COUNTIF($F$2:$F$29,O24)=0,COUNTIFS($F$2:$F$29,O24,$Q$2:$Q$29,"Aprobada")&gt;0),OR(P24="",COUNTIF($F$2:$F$29,P24)=0,COUNTIFS($F$2:$F$29,P24,$Q$2:$Q$29,"Aprobada")&gt;0)),"Sí","No"),"")</f>
        <v/>
      </c>
      <c r="U24" s="9" t="str">
        <f aca="false">IF(Q24="Aprobada",TRIM(IF(NOT(OR(L24="",COUNTIF($F$2:$F$29,L24)=0,COUNTIFS($F$2:$F$29,L24,$Q$2:$Q$29,"Aprobada")&gt;0)),L24&amp;" ","")&amp;IF(NOT(OR(M24="",COUNTIF($F$2:$F$29,M24)=0,COUNTIFS($F$2:$F$29,M24,$Q$2:$Q$29,"Aprobada")&gt;0)),M24&amp;" ","")&amp;IF(NOT(OR(N24="",COUNTIF($F$2:$F$29,N24)=0,COUNTIFS($F$2:$F$29,N24,$Q$2:$Q$29,"Aprobada")&gt;0)),N24&amp;" ","")&amp;IF(NOT(OR(O24="",COUNTIF($F$2:$F$29,O24)=0,COUNTIFS($F$2:$F$29,O24,$Q$2:$Q$29,"Aprobada")&gt;0)),O24&amp;" ","")&amp;IF(NOT(OR(P24="",COUNTIF($F$2:$F$29,P24)=0,COUNTIFS($F$2:$F$29,P24,$Q$2:$Q$29,"Aprobada")&gt;0)),P24&amp;" ","")),IF(Q24="Cursada aprobada",TRIM(IF(NOT(OR(L24="",COUNTIF($F$2:$F$29,L24)=0,COUNTIFS($F$2:$F$29,L24,$Q$2:$Q$29,"Aprobada")&gt;0,AND(Resumen!$B$15="La cursada aprobada",COUNTIFS($F$2:$F$29,L24,$Q$2:$Q$29,"Cursada aprobada")&gt;0))),L24&amp;" ","")&amp;IF(NOT(OR(M24="",COUNTIF($F$2:$F$29,M24)=0,COUNTIFS($F$2:$F$29,M24,$Q$2:$Q$29,"Aprobada")&gt;0,AND(Resumen!$B$15="La cursada aprobada",COUNTIFS($F$2:$F$29,M24,$Q$2:$Q$29,"Cursada aprobada")&gt;0))),M24&amp;" ","")&amp;IF(NOT(OR(N24="",COUNTIF($F$2:$F$29,N24)=0,COUNTIFS($F$2:$F$29,N24,$Q$2:$Q$29,"Aprobada")&gt;0,AND(Resumen!$B$15="La cursada aprobada",COUNTIFS($F$2:$F$29,N24,$Q$2:$Q$29,"Cursada aprobada")&gt;0))),N24&amp;" ","")&amp;IF(NOT(OR(O24="",COUNTIF($F$2:$F$29,O24)=0,COUNTIFS($F$2:$F$29,O24,$Q$2:$Q$29,"Aprobada")&gt;0,AND(Resumen!$B$15="La cursada aprobada",COUNTIFS($F$2:$F$29,O24,$Q$2:$Q$29,"Cursada aprobada")&gt;0))),O24&amp;" ","")&amp;IF(NOT(OR(P24="",COUNTIF($F$2:$F$29,P24)=0,COUNTIFS($F$2:$F$29,P24,$Q$2:$Q$29,"Aprobada")&gt;0,AND(Resumen!$B$15="La cursada aprobada",COUNTIFS($F$2:$F$29,P24,$Q$2:$Q$29,"Cursada aprobada")&gt;0))),P24&amp;" ","")),""))</f>
        <v/>
      </c>
    </row>
    <row r="25" customFormat="false" ht="15" hidden="false" customHeight="false" outlineLevel="0" collapsed="false">
      <c r="A25" s="8" t="s">
        <v>116</v>
      </c>
      <c r="B25" s="8"/>
      <c r="C25" s="9"/>
      <c r="D25" s="9"/>
      <c r="E25" s="9" t="s">
        <v>99</v>
      </c>
      <c r="F25" s="9" t="n">
        <v>2006</v>
      </c>
      <c r="G25" s="8" t="s">
        <v>316</v>
      </c>
      <c r="H25" s="9"/>
      <c r="I25" s="9" t="n">
        <v>4</v>
      </c>
      <c r="J25" s="9"/>
      <c r="K25" s="9" t="n">
        <v>64</v>
      </c>
      <c r="L25" s="9"/>
      <c r="M25" s="9"/>
      <c r="N25" s="9"/>
      <c r="O25" s="9"/>
      <c r="P25" s="9"/>
      <c r="Q25" s="10" t="s">
        <v>62</v>
      </c>
      <c r="R25" s="9" t="str">
        <f aca="false">IF(Q25="Aprobada","Ya aprobada",IF(Q25="Cursada aprobada","Ya cursada",IF(AND(OR(L25="",COUNTIF($F$2:$F$29,L25)=0,COUNTIFS($F$2:$F$29,L25,$Q$2:$Q$29,"Aprobada")&gt;0,AND(Resumen!$B$15="La cursada aprobada",COUNTIFS($F$2:$F$29,L25,$Q$2:$Q$29,"Cursada aprobada")&gt;0)),OR(M25="",COUNTIF($F$2:$F$29,M25)=0,COUNTIFS($F$2:$F$29,M25,$Q$2:$Q$29,"Aprobada")&gt;0,AND(Resumen!$B$15="La cursada aprobada",COUNTIFS($F$2:$F$29,M25,$Q$2:$Q$29,"Cursada aprobada")&gt;0)),OR(N25="",COUNTIF($F$2:$F$29,N25)=0,COUNTIFS($F$2:$F$29,N25,$Q$2:$Q$29,"Aprobada")&gt;0,AND(Resumen!$B$15="La cursada aprobada",COUNTIFS($F$2:$F$29,N25,$Q$2:$Q$29,"Cursada aprobada")&gt;0)),OR(O25="",COUNTIF($F$2:$F$29,O25)=0,COUNTIFS($F$2:$F$29,O25,$Q$2:$Q$29,"Aprobada")&gt;0,AND(Resumen!$B$15="La cursada aprobada",COUNTIFS($F$2:$F$29,O25,$Q$2:$Q$29,"Cursada aprobada")&gt;0)),OR(P25="",COUNTIF($F$2:$F$29,P25)=0,COUNTIFS($F$2:$F$29,P25,$Q$2:$Q$29,"Aprobada")&gt;0,AND(Resumen!$B$15="La cursada aprobada",COUNTIFS($F$2:$F$29,P25,$Q$2:$Q$29,"Cursada aprobada")&gt;0))),"Sí","No")))</f>
        <v>Sí</v>
      </c>
      <c r="S25" s="8" t="str">
        <f aca="false">TRIM(IF(NOT(OR(L25="",COUNTIF($F$2:$F$29,L25)=0,COUNTIFS($F$2:$F$29,L25,$Q$2:$Q$29,"Aprobada")&gt;0,AND(Resumen!$B$15="La cursada aprobada",COUNTIFS($F$2:$F$29,L25,$Q$2:$Q$29,"Cursada aprobada")&gt;0))),L25&amp;" ","")&amp;IF(NOT(OR(M25="",COUNTIF($F$2:$F$29,M25)=0,COUNTIFS($F$2:$F$29,M25,$Q$2:$Q$29,"Aprobada")&gt;0,AND(Resumen!$B$15="La cursada aprobada",COUNTIFS($F$2:$F$29,M25,$Q$2:$Q$29,"Cursada aprobada")&gt;0))),M25&amp;" ","")&amp;IF(NOT(OR(N25="",COUNTIF($F$2:$F$29,N25)=0,COUNTIFS($F$2:$F$29,N25,$Q$2:$Q$29,"Aprobada")&gt;0,AND(Resumen!$B$15="La cursada aprobada",COUNTIFS($F$2:$F$29,N25,$Q$2:$Q$29,"Cursada aprobada")&gt;0))),N25&amp;" ","")&amp;IF(NOT(OR(O25="",COUNTIF($F$2:$F$29,O25)=0,COUNTIFS($F$2:$F$29,O25,$Q$2:$Q$29,"Aprobada")&gt;0,AND(Resumen!$B$15="La cursada aprobada",COUNTIFS($F$2:$F$29,O25,$Q$2:$Q$29,"Cursada aprobada")&gt;0))),O25&amp;" ","")&amp;IF(NOT(OR(P25="",COUNTIF($F$2:$F$29,P25)=0,COUNTIFS($F$2:$F$29,P25,$Q$2:$Q$29,"Aprobada")&gt;0,AND(Resumen!$B$15="La cursada aprobada",COUNTIFS($F$2:$F$29,P25,$Q$2:$Q$29,"Cursada aprobada")&gt;0))),P25&amp;" ",""))</f>
        <v/>
      </c>
      <c r="T25" s="9" t="str">
        <f aca="false">IF(Q25="Cursada aprobada",IF(AND(OR(L25="",COUNTIF($F$2:$F$29,L25)=0,COUNTIFS($F$2:$F$29,L25,$Q$2:$Q$29,"Aprobada")&gt;0),OR(M25="",COUNTIF($F$2:$F$29,M25)=0,COUNTIFS($F$2:$F$29,M25,$Q$2:$Q$29,"Aprobada")&gt;0),OR(N25="",COUNTIF($F$2:$F$29,N25)=0,COUNTIFS($F$2:$F$29,N25,$Q$2:$Q$29,"Aprobada")&gt;0),OR(O25="",COUNTIF($F$2:$F$29,O25)=0,COUNTIFS($F$2:$F$29,O25,$Q$2:$Q$29,"Aprobada")&gt;0),OR(P25="",COUNTIF($F$2:$F$29,P25)=0,COUNTIFS($F$2:$F$29,P25,$Q$2:$Q$29,"Aprobada")&gt;0)),"Sí","No"),"")</f>
        <v/>
      </c>
      <c r="U25" s="9" t="str">
        <f aca="false">IF(Q25="Aprobada",TRIM(IF(NOT(OR(L25="",COUNTIF($F$2:$F$29,L25)=0,COUNTIFS($F$2:$F$29,L25,$Q$2:$Q$29,"Aprobada")&gt;0)),L25&amp;" ","")&amp;IF(NOT(OR(M25="",COUNTIF($F$2:$F$29,M25)=0,COUNTIFS($F$2:$F$29,M25,$Q$2:$Q$29,"Aprobada")&gt;0)),M25&amp;" ","")&amp;IF(NOT(OR(N25="",COUNTIF($F$2:$F$29,N25)=0,COUNTIFS($F$2:$F$29,N25,$Q$2:$Q$29,"Aprobada")&gt;0)),N25&amp;" ","")&amp;IF(NOT(OR(O25="",COUNTIF($F$2:$F$29,O25)=0,COUNTIFS($F$2:$F$29,O25,$Q$2:$Q$29,"Aprobada")&gt;0)),O25&amp;" ","")&amp;IF(NOT(OR(P25="",COUNTIF($F$2:$F$29,P25)=0,COUNTIFS($F$2:$F$29,P25,$Q$2:$Q$29,"Aprobada")&gt;0)),P25&amp;" ","")),IF(Q25="Cursada aprobada",TRIM(IF(NOT(OR(L25="",COUNTIF($F$2:$F$29,L25)=0,COUNTIFS($F$2:$F$29,L25,$Q$2:$Q$29,"Aprobada")&gt;0,AND(Resumen!$B$15="La cursada aprobada",COUNTIFS($F$2:$F$29,L25,$Q$2:$Q$29,"Cursada aprobada")&gt;0))),L25&amp;" ","")&amp;IF(NOT(OR(M25="",COUNTIF($F$2:$F$29,M25)=0,COUNTIFS($F$2:$F$29,M25,$Q$2:$Q$29,"Aprobada")&gt;0,AND(Resumen!$B$15="La cursada aprobada",COUNTIFS($F$2:$F$29,M25,$Q$2:$Q$29,"Cursada aprobada")&gt;0))),M25&amp;" ","")&amp;IF(NOT(OR(N25="",COUNTIF($F$2:$F$29,N25)=0,COUNTIFS($F$2:$F$29,N25,$Q$2:$Q$29,"Aprobada")&gt;0,AND(Resumen!$B$15="La cursada aprobada",COUNTIFS($F$2:$F$29,N25,$Q$2:$Q$29,"Cursada aprobada")&gt;0))),N25&amp;" ","")&amp;IF(NOT(OR(O25="",COUNTIF($F$2:$F$29,O25)=0,COUNTIFS($F$2:$F$29,O25,$Q$2:$Q$29,"Aprobada")&gt;0,AND(Resumen!$B$15="La cursada aprobada",COUNTIFS($F$2:$F$29,O25,$Q$2:$Q$29,"Cursada aprobada")&gt;0))),O25&amp;" ","")&amp;IF(NOT(OR(P25="",COUNTIF($F$2:$F$29,P25)=0,COUNTIFS($F$2:$F$29,P25,$Q$2:$Q$29,"Aprobada")&gt;0,AND(Resumen!$B$15="La cursada aprobada",COUNTIFS($F$2:$F$29,P25,$Q$2:$Q$29,"Cursada aprobada")&gt;0))),P25&amp;" ","")),""))</f>
        <v/>
      </c>
    </row>
    <row r="26" customFormat="false" ht="15" hidden="false" customHeight="false" outlineLevel="0" collapsed="false">
      <c r="A26" s="8" t="s">
        <v>116</v>
      </c>
      <c r="B26" s="8"/>
      <c r="C26" s="9"/>
      <c r="D26" s="9"/>
      <c r="E26" s="9" t="s">
        <v>63</v>
      </c>
      <c r="F26" s="9" t="n">
        <v>300</v>
      </c>
      <c r="G26" s="8" t="s">
        <v>118</v>
      </c>
      <c r="H26" s="9"/>
      <c r="I26" s="9" t="n">
        <v>2</v>
      </c>
      <c r="J26" s="9"/>
      <c r="K26" s="9" t="n">
        <v>32</v>
      </c>
      <c r="L26" s="9"/>
      <c r="M26" s="9"/>
      <c r="N26" s="9"/>
      <c r="O26" s="9"/>
      <c r="P26" s="9"/>
      <c r="Q26" s="10" t="s">
        <v>62</v>
      </c>
      <c r="R26" s="9" t="str">
        <f aca="false">IF(Q26="Aprobada","Ya aprobada",IF(Q26="Cursada aprobada","Ya cursada",IF(AND(OR(L26="",COUNTIF($F$2:$F$29,L26)=0,COUNTIFS($F$2:$F$29,L26,$Q$2:$Q$29,"Aprobada")&gt;0,AND(Resumen!$B$15="La cursada aprobada",COUNTIFS($F$2:$F$29,L26,$Q$2:$Q$29,"Cursada aprobada")&gt;0)),OR(M26="",COUNTIF($F$2:$F$29,M26)=0,COUNTIFS($F$2:$F$29,M26,$Q$2:$Q$29,"Aprobada")&gt;0,AND(Resumen!$B$15="La cursada aprobada",COUNTIFS($F$2:$F$29,M26,$Q$2:$Q$29,"Cursada aprobada")&gt;0)),OR(N26="",COUNTIF($F$2:$F$29,N26)=0,COUNTIFS($F$2:$F$29,N26,$Q$2:$Q$29,"Aprobada")&gt;0,AND(Resumen!$B$15="La cursada aprobada",COUNTIFS($F$2:$F$29,N26,$Q$2:$Q$29,"Cursada aprobada")&gt;0)),OR(O26="",COUNTIF($F$2:$F$29,O26)=0,COUNTIFS($F$2:$F$29,O26,$Q$2:$Q$29,"Aprobada")&gt;0,AND(Resumen!$B$15="La cursada aprobada",COUNTIFS($F$2:$F$29,O26,$Q$2:$Q$29,"Cursada aprobada")&gt;0)),OR(P26="",COUNTIF($F$2:$F$29,P26)=0,COUNTIFS($F$2:$F$29,P26,$Q$2:$Q$29,"Aprobada")&gt;0,AND(Resumen!$B$15="La cursada aprobada",COUNTIFS($F$2:$F$29,P26,$Q$2:$Q$29,"Cursada aprobada")&gt;0))),"Sí","No")))</f>
        <v>Sí</v>
      </c>
      <c r="S26" s="8" t="str">
        <f aca="false">TRIM(IF(NOT(OR(L26="",COUNTIF($F$2:$F$29,L26)=0,COUNTIFS($F$2:$F$29,L26,$Q$2:$Q$29,"Aprobada")&gt;0,AND(Resumen!$B$15="La cursada aprobada",COUNTIFS($F$2:$F$29,L26,$Q$2:$Q$29,"Cursada aprobada")&gt;0))),L26&amp;" ","")&amp;IF(NOT(OR(M26="",COUNTIF($F$2:$F$29,M26)=0,COUNTIFS($F$2:$F$29,M26,$Q$2:$Q$29,"Aprobada")&gt;0,AND(Resumen!$B$15="La cursada aprobada",COUNTIFS($F$2:$F$29,M26,$Q$2:$Q$29,"Cursada aprobada")&gt;0))),M26&amp;" ","")&amp;IF(NOT(OR(N26="",COUNTIF($F$2:$F$29,N26)=0,COUNTIFS($F$2:$F$29,N26,$Q$2:$Q$29,"Aprobada")&gt;0,AND(Resumen!$B$15="La cursada aprobada",COUNTIFS($F$2:$F$29,N26,$Q$2:$Q$29,"Cursada aprobada")&gt;0))),N26&amp;" ","")&amp;IF(NOT(OR(O26="",COUNTIF($F$2:$F$29,O26)=0,COUNTIFS($F$2:$F$29,O26,$Q$2:$Q$29,"Aprobada")&gt;0,AND(Resumen!$B$15="La cursada aprobada",COUNTIFS($F$2:$F$29,O26,$Q$2:$Q$29,"Cursada aprobada")&gt;0))),O26&amp;" ","")&amp;IF(NOT(OR(P26="",COUNTIF($F$2:$F$29,P26)=0,COUNTIFS($F$2:$F$29,P26,$Q$2:$Q$29,"Aprobada")&gt;0,AND(Resumen!$B$15="La cursada aprobada",COUNTIFS($F$2:$F$29,P26,$Q$2:$Q$29,"Cursada aprobada")&gt;0))),P26&amp;" ",""))</f>
        <v/>
      </c>
      <c r="T26" s="9" t="str">
        <f aca="false">IF(Q26="Cursada aprobada",IF(AND(OR(L26="",COUNTIF($F$2:$F$29,L26)=0,COUNTIFS($F$2:$F$29,L26,$Q$2:$Q$29,"Aprobada")&gt;0),OR(M26="",COUNTIF($F$2:$F$29,M26)=0,COUNTIFS($F$2:$F$29,M26,$Q$2:$Q$29,"Aprobada")&gt;0),OR(N26="",COUNTIF($F$2:$F$29,N26)=0,COUNTIFS($F$2:$F$29,N26,$Q$2:$Q$29,"Aprobada")&gt;0),OR(O26="",COUNTIF($F$2:$F$29,O26)=0,COUNTIFS($F$2:$F$29,O26,$Q$2:$Q$29,"Aprobada")&gt;0),OR(P26="",COUNTIF($F$2:$F$29,P26)=0,COUNTIFS($F$2:$F$29,P26,$Q$2:$Q$29,"Aprobada")&gt;0)),"Sí","No"),"")</f>
        <v/>
      </c>
      <c r="U26" s="9" t="str">
        <f aca="false">IF(Q26="Aprobada",TRIM(IF(NOT(OR(L26="",COUNTIF($F$2:$F$29,L26)=0,COUNTIFS($F$2:$F$29,L26,$Q$2:$Q$29,"Aprobada")&gt;0)),L26&amp;" ","")&amp;IF(NOT(OR(M26="",COUNTIF($F$2:$F$29,M26)=0,COUNTIFS($F$2:$F$29,M26,$Q$2:$Q$29,"Aprobada")&gt;0)),M26&amp;" ","")&amp;IF(NOT(OR(N26="",COUNTIF($F$2:$F$29,N26)=0,COUNTIFS($F$2:$F$29,N26,$Q$2:$Q$29,"Aprobada")&gt;0)),N26&amp;" ","")&amp;IF(NOT(OR(O26="",COUNTIF($F$2:$F$29,O26)=0,COUNTIFS($F$2:$F$29,O26,$Q$2:$Q$29,"Aprobada")&gt;0)),O26&amp;" ","")&amp;IF(NOT(OR(P26="",COUNTIF($F$2:$F$29,P26)=0,COUNTIFS($F$2:$F$29,P26,$Q$2:$Q$29,"Aprobada")&gt;0)),P26&amp;" ","")),IF(Q26="Cursada aprobada",TRIM(IF(NOT(OR(L26="",COUNTIF($F$2:$F$29,L26)=0,COUNTIFS($F$2:$F$29,L26,$Q$2:$Q$29,"Aprobada")&gt;0,AND(Resumen!$B$15="La cursada aprobada",COUNTIFS($F$2:$F$29,L26,$Q$2:$Q$29,"Cursada aprobada")&gt;0))),L26&amp;" ","")&amp;IF(NOT(OR(M26="",COUNTIF($F$2:$F$29,M26)=0,COUNTIFS($F$2:$F$29,M26,$Q$2:$Q$29,"Aprobada")&gt;0,AND(Resumen!$B$15="La cursada aprobada",COUNTIFS($F$2:$F$29,M26,$Q$2:$Q$29,"Cursada aprobada")&gt;0))),M26&amp;" ","")&amp;IF(NOT(OR(N26="",COUNTIF($F$2:$F$29,N26)=0,COUNTIFS($F$2:$F$29,N26,$Q$2:$Q$29,"Aprobada")&gt;0,AND(Resumen!$B$15="La cursada aprobada",COUNTIFS($F$2:$F$29,N26,$Q$2:$Q$29,"Cursada aprobada")&gt;0))),N26&amp;" ","")&amp;IF(NOT(OR(O26="",COUNTIF($F$2:$F$29,O26)=0,COUNTIFS($F$2:$F$29,O26,$Q$2:$Q$29,"Aprobada")&gt;0,AND(Resumen!$B$15="La cursada aprobada",COUNTIFS($F$2:$F$29,O26,$Q$2:$Q$29,"Cursada aprobada")&gt;0))),O26&amp;" ","")&amp;IF(NOT(OR(P26="",COUNTIF($F$2:$F$29,P26)=0,COUNTIFS($F$2:$F$29,P26,$Q$2:$Q$29,"Aprobada")&gt;0,AND(Resumen!$B$15="La cursada aprobada",COUNTIFS($F$2:$F$29,P26,$Q$2:$Q$29,"Cursada aprobada")&gt;0))),P26&amp;" ","")),""))</f>
        <v/>
      </c>
    </row>
    <row r="27" customFormat="false" ht="15" hidden="false" customHeight="false" outlineLevel="0" collapsed="false">
      <c r="A27" s="8" t="s">
        <v>116</v>
      </c>
      <c r="B27" s="8"/>
      <c r="C27" s="9"/>
      <c r="D27" s="9"/>
      <c r="E27" s="9" t="s">
        <v>99</v>
      </c>
      <c r="F27" s="9" t="n">
        <v>283</v>
      </c>
      <c r="G27" s="8" t="s">
        <v>317</v>
      </c>
      <c r="H27" s="9"/>
      <c r="I27" s="9" t="n">
        <v>2</v>
      </c>
      <c r="J27" s="9"/>
      <c r="K27" s="9" t="n">
        <v>32</v>
      </c>
      <c r="L27" s="9" t="n">
        <v>391</v>
      </c>
      <c r="M27" s="9"/>
      <c r="N27" s="9"/>
      <c r="O27" s="9"/>
      <c r="P27" s="9"/>
      <c r="Q27" s="10" t="s">
        <v>62</v>
      </c>
      <c r="R27" s="9" t="str">
        <f aca="false">IF(Q27="Aprobada","Ya aprobada",IF(Q27="Cursada aprobada","Ya cursada",IF(AND(OR(L27="",COUNTIF($F$2:$F$29,L27)=0,COUNTIFS($F$2:$F$29,L27,$Q$2:$Q$29,"Aprobada")&gt;0,AND(Resumen!$B$15="La cursada aprobada",COUNTIFS($F$2:$F$29,L27,$Q$2:$Q$29,"Cursada aprobada")&gt;0)),OR(M27="",COUNTIF($F$2:$F$29,M27)=0,COUNTIFS($F$2:$F$29,M27,$Q$2:$Q$29,"Aprobada")&gt;0,AND(Resumen!$B$15="La cursada aprobada",COUNTIFS($F$2:$F$29,M27,$Q$2:$Q$29,"Cursada aprobada")&gt;0)),OR(N27="",COUNTIF($F$2:$F$29,N27)=0,COUNTIFS($F$2:$F$29,N27,$Q$2:$Q$29,"Aprobada")&gt;0,AND(Resumen!$B$15="La cursada aprobada",COUNTIFS($F$2:$F$29,N27,$Q$2:$Q$29,"Cursada aprobada")&gt;0)),OR(O27="",COUNTIF($F$2:$F$29,O27)=0,COUNTIFS($F$2:$F$29,O27,$Q$2:$Q$29,"Aprobada")&gt;0,AND(Resumen!$B$15="La cursada aprobada",COUNTIFS($F$2:$F$29,O27,$Q$2:$Q$29,"Cursada aprobada")&gt;0)),OR(P27="",COUNTIF($F$2:$F$29,P27)=0,COUNTIFS($F$2:$F$29,P27,$Q$2:$Q$29,"Aprobada")&gt;0,AND(Resumen!$B$15="La cursada aprobada",COUNTIFS($F$2:$F$29,P27,$Q$2:$Q$29,"Cursada aprobada")&gt;0))),"Sí","No")))</f>
        <v>No</v>
      </c>
      <c r="S27" s="8" t="str">
        <f aca="false">TRIM(IF(NOT(OR(L27="",COUNTIF($F$2:$F$29,L27)=0,COUNTIFS($F$2:$F$29,L27,$Q$2:$Q$29,"Aprobada")&gt;0,AND(Resumen!$B$15="La cursada aprobada",COUNTIFS($F$2:$F$29,L27,$Q$2:$Q$29,"Cursada aprobada")&gt;0))),L27&amp;" ","")&amp;IF(NOT(OR(M27="",COUNTIF($F$2:$F$29,M27)=0,COUNTIFS($F$2:$F$29,M27,$Q$2:$Q$29,"Aprobada")&gt;0,AND(Resumen!$B$15="La cursada aprobada",COUNTIFS($F$2:$F$29,M27,$Q$2:$Q$29,"Cursada aprobada")&gt;0))),M27&amp;" ","")&amp;IF(NOT(OR(N27="",COUNTIF($F$2:$F$29,N27)=0,COUNTIFS($F$2:$F$29,N27,$Q$2:$Q$29,"Aprobada")&gt;0,AND(Resumen!$B$15="La cursada aprobada",COUNTIFS($F$2:$F$29,N27,$Q$2:$Q$29,"Cursada aprobada")&gt;0))),N27&amp;" ","")&amp;IF(NOT(OR(O27="",COUNTIF($F$2:$F$29,O27)=0,COUNTIFS($F$2:$F$29,O27,$Q$2:$Q$29,"Aprobada")&gt;0,AND(Resumen!$B$15="La cursada aprobada",COUNTIFS($F$2:$F$29,O27,$Q$2:$Q$29,"Cursada aprobada")&gt;0))),O27&amp;" ","")&amp;IF(NOT(OR(P27="",COUNTIF($F$2:$F$29,P27)=0,COUNTIFS($F$2:$F$29,P27,$Q$2:$Q$29,"Aprobada")&gt;0,AND(Resumen!$B$15="La cursada aprobada",COUNTIFS($F$2:$F$29,P27,$Q$2:$Q$29,"Cursada aprobada")&gt;0))),P27&amp;" ",""))</f>
        <v>391</v>
      </c>
      <c r="T27" s="9" t="str">
        <f aca="false">IF(Q27="Cursada aprobada",IF(AND(OR(L27="",COUNTIF($F$2:$F$29,L27)=0,COUNTIFS($F$2:$F$29,L27,$Q$2:$Q$29,"Aprobada")&gt;0),OR(M27="",COUNTIF($F$2:$F$29,M27)=0,COUNTIFS($F$2:$F$29,M27,$Q$2:$Q$29,"Aprobada")&gt;0),OR(N27="",COUNTIF($F$2:$F$29,N27)=0,COUNTIFS($F$2:$F$29,N27,$Q$2:$Q$29,"Aprobada")&gt;0),OR(O27="",COUNTIF($F$2:$F$29,O27)=0,COUNTIFS($F$2:$F$29,O27,$Q$2:$Q$29,"Aprobada")&gt;0),OR(P27="",COUNTIF($F$2:$F$29,P27)=0,COUNTIFS($F$2:$F$29,P27,$Q$2:$Q$29,"Aprobada")&gt;0)),"Sí","No"),"")</f>
        <v/>
      </c>
      <c r="U27" s="9" t="str">
        <f aca="false">IF(Q27="Aprobada",TRIM(IF(NOT(OR(L27="",COUNTIF($F$2:$F$29,L27)=0,COUNTIFS($F$2:$F$29,L27,$Q$2:$Q$29,"Aprobada")&gt;0)),L27&amp;" ","")&amp;IF(NOT(OR(M27="",COUNTIF($F$2:$F$29,M27)=0,COUNTIFS($F$2:$F$29,M27,$Q$2:$Q$29,"Aprobada")&gt;0)),M27&amp;" ","")&amp;IF(NOT(OR(N27="",COUNTIF($F$2:$F$29,N27)=0,COUNTIFS($F$2:$F$29,N27,$Q$2:$Q$29,"Aprobada")&gt;0)),N27&amp;" ","")&amp;IF(NOT(OR(O27="",COUNTIF($F$2:$F$29,O27)=0,COUNTIFS($F$2:$F$29,O27,$Q$2:$Q$29,"Aprobada")&gt;0)),O27&amp;" ","")&amp;IF(NOT(OR(P27="",COUNTIF($F$2:$F$29,P27)=0,COUNTIFS($F$2:$F$29,P27,$Q$2:$Q$29,"Aprobada")&gt;0)),P27&amp;" ","")),IF(Q27="Cursada aprobada",TRIM(IF(NOT(OR(L27="",COUNTIF($F$2:$F$29,L27)=0,COUNTIFS($F$2:$F$29,L27,$Q$2:$Q$29,"Aprobada")&gt;0,AND(Resumen!$B$15="La cursada aprobada",COUNTIFS($F$2:$F$29,L27,$Q$2:$Q$29,"Cursada aprobada")&gt;0))),L27&amp;" ","")&amp;IF(NOT(OR(M27="",COUNTIF($F$2:$F$29,M27)=0,COUNTIFS($F$2:$F$29,M27,$Q$2:$Q$29,"Aprobada")&gt;0,AND(Resumen!$B$15="La cursada aprobada",COUNTIFS($F$2:$F$29,M27,$Q$2:$Q$29,"Cursada aprobada")&gt;0))),M27&amp;" ","")&amp;IF(NOT(OR(N27="",COUNTIF($F$2:$F$29,N27)=0,COUNTIFS($F$2:$F$29,N27,$Q$2:$Q$29,"Aprobada")&gt;0,AND(Resumen!$B$15="La cursada aprobada",COUNTIFS($F$2:$F$29,N27,$Q$2:$Q$29,"Cursada aprobada")&gt;0))),N27&amp;" ","")&amp;IF(NOT(OR(O27="",COUNTIF($F$2:$F$29,O27)=0,COUNTIFS($F$2:$F$29,O27,$Q$2:$Q$29,"Aprobada")&gt;0,AND(Resumen!$B$15="La cursada aprobada",COUNTIFS($F$2:$F$29,O27,$Q$2:$Q$29,"Cursada aprobada")&gt;0))),O27&amp;" ","")&amp;IF(NOT(OR(P27="",COUNTIF($F$2:$F$29,P27)=0,COUNTIFS($F$2:$F$29,P27,$Q$2:$Q$29,"Aprobada")&gt;0,AND(Resumen!$B$15="La cursada aprobada",COUNTIFS($F$2:$F$29,P27,$Q$2:$Q$29,"Cursada aprobada")&gt;0))),P27&amp;" ","")),""))</f>
        <v/>
      </c>
    </row>
    <row r="28" customFormat="false" ht="15" hidden="false" customHeight="false" outlineLevel="0" collapsed="false">
      <c r="A28" s="8" t="s">
        <v>116</v>
      </c>
      <c r="B28" s="8"/>
      <c r="C28" s="9"/>
      <c r="D28" s="9"/>
      <c r="E28" s="9" t="s">
        <v>99</v>
      </c>
      <c r="F28" s="9" t="n">
        <v>284</v>
      </c>
      <c r="G28" s="8" t="s">
        <v>318</v>
      </c>
      <c r="H28" s="9"/>
      <c r="I28" s="9" t="n">
        <v>2</v>
      </c>
      <c r="J28" s="9"/>
      <c r="K28" s="9" t="n">
        <v>32</v>
      </c>
      <c r="L28" s="9" t="n">
        <v>235</v>
      </c>
      <c r="M28" s="9"/>
      <c r="N28" s="9"/>
      <c r="O28" s="9"/>
      <c r="P28" s="9"/>
      <c r="Q28" s="10" t="s">
        <v>62</v>
      </c>
      <c r="R28" s="9" t="str">
        <f aca="false">IF(Q28="Aprobada","Ya aprobada",IF(Q28="Cursada aprobada","Ya cursada",IF(AND(OR(L28="",COUNTIF($F$2:$F$29,L28)=0,COUNTIFS($F$2:$F$29,L28,$Q$2:$Q$29,"Aprobada")&gt;0,AND(Resumen!$B$15="La cursada aprobada",COUNTIFS($F$2:$F$29,L28,$Q$2:$Q$29,"Cursada aprobada")&gt;0)),OR(M28="",COUNTIF($F$2:$F$29,M28)=0,COUNTIFS($F$2:$F$29,M28,$Q$2:$Q$29,"Aprobada")&gt;0,AND(Resumen!$B$15="La cursada aprobada",COUNTIFS($F$2:$F$29,M28,$Q$2:$Q$29,"Cursada aprobada")&gt;0)),OR(N28="",COUNTIF($F$2:$F$29,N28)=0,COUNTIFS($F$2:$F$29,N28,$Q$2:$Q$29,"Aprobada")&gt;0,AND(Resumen!$B$15="La cursada aprobada",COUNTIFS($F$2:$F$29,N28,$Q$2:$Q$29,"Cursada aprobada")&gt;0)),OR(O28="",COUNTIF($F$2:$F$29,O28)=0,COUNTIFS($F$2:$F$29,O28,$Q$2:$Q$29,"Aprobada")&gt;0,AND(Resumen!$B$15="La cursada aprobada",COUNTIFS($F$2:$F$29,O28,$Q$2:$Q$29,"Cursada aprobada")&gt;0)),OR(P28="",COUNTIF($F$2:$F$29,P28)=0,COUNTIFS($F$2:$F$29,P28,$Q$2:$Q$29,"Aprobada")&gt;0,AND(Resumen!$B$15="La cursada aprobada",COUNTIFS($F$2:$F$29,P28,$Q$2:$Q$29,"Cursada aprobada")&gt;0))),"Sí","No")))</f>
        <v>No</v>
      </c>
      <c r="S28" s="8" t="str">
        <f aca="false">TRIM(IF(NOT(OR(L28="",COUNTIF($F$2:$F$29,L28)=0,COUNTIFS($F$2:$F$29,L28,$Q$2:$Q$29,"Aprobada")&gt;0,AND(Resumen!$B$15="La cursada aprobada",COUNTIFS($F$2:$F$29,L28,$Q$2:$Q$29,"Cursada aprobada")&gt;0))),L28&amp;" ","")&amp;IF(NOT(OR(M28="",COUNTIF($F$2:$F$29,M28)=0,COUNTIFS($F$2:$F$29,M28,$Q$2:$Q$29,"Aprobada")&gt;0,AND(Resumen!$B$15="La cursada aprobada",COUNTIFS($F$2:$F$29,M28,$Q$2:$Q$29,"Cursada aprobada")&gt;0))),M28&amp;" ","")&amp;IF(NOT(OR(N28="",COUNTIF($F$2:$F$29,N28)=0,COUNTIFS($F$2:$F$29,N28,$Q$2:$Q$29,"Aprobada")&gt;0,AND(Resumen!$B$15="La cursada aprobada",COUNTIFS($F$2:$F$29,N28,$Q$2:$Q$29,"Cursada aprobada")&gt;0))),N28&amp;" ","")&amp;IF(NOT(OR(O28="",COUNTIF($F$2:$F$29,O28)=0,COUNTIFS($F$2:$F$29,O28,$Q$2:$Q$29,"Aprobada")&gt;0,AND(Resumen!$B$15="La cursada aprobada",COUNTIFS($F$2:$F$29,O28,$Q$2:$Q$29,"Cursada aprobada")&gt;0))),O28&amp;" ","")&amp;IF(NOT(OR(P28="",COUNTIF($F$2:$F$29,P28)=0,COUNTIFS($F$2:$F$29,P28,$Q$2:$Q$29,"Aprobada")&gt;0,AND(Resumen!$B$15="La cursada aprobada",COUNTIFS($F$2:$F$29,P28,$Q$2:$Q$29,"Cursada aprobada")&gt;0))),P28&amp;" ",""))</f>
        <v>235</v>
      </c>
      <c r="T28" s="9" t="str">
        <f aca="false">IF(Q28="Cursada aprobada",IF(AND(OR(L28="",COUNTIF($F$2:$F$29,L28)=0,COUNTIFS($F$2:$F$29,L28,$Q$2:$Q$29,"Aprobada")&gt;0),OR(M28="",COUNTIF($F$2:$F$29,M28)=0,COUNTIFS($F$2:$F$29,M28,$Q$2:$Q$29,"Aprobada")&gt;0),OR(N28="",COUNTIF($F$2:$F$29,N28)=0,COUNTIFS($F$2:$F$29,N28,$Q$2:$Q$29,"Aprobada")&gt;0),OR(O28="",COUNTIF($F$2:$F$29,O28)=0,COUNTIFS($F$2:$F$29,O28,$Q$2:$Q$29,"Aprobada")&gt;0),OR(P28="",COUNTIF($F$2:$F$29,P28)=0,COUNTIFS($F$2:$F$29,P28,$Q$2:$Q$29,"Aprobada")&gt;0)),"Sí","No"),"")</f>
        <v/>
      </c>
      <c r="U28" s="9" t="str">
        <f aca="false">IF(Q28="Aprobada",TRIM(IF(NOT(OR(L28="",COUNTIF($F$2:$F$29,L28)=0,COUNTIFS($F$2:$F$29,L28,$Q$2:$Q$29,"Aprobada")&gt;0)),L28&amp;" ","")&amp;IF(NOT(OR(M28="",COUNTIF($F$2:$F$29,M28)=0,COUNTIFS($F$2:$F$29,M28,$Q$2:$Q$29,"Aprobada")&gt;0)),M28&amp;" ","")&amp;IF(NOT(OR(N28="",COUNTIF($F$2:$F$29,N28)=0,COUNTIFS($F$2:$F$29,N28,$Q$2:$Q$29,"Aprobada")&gt;0)),N28&amp;" ","")&amp;IF(NOT(OR(O28="",COUNTIF($F$2:$F$29,O28)=0,COUNTIFS($F$2:$F$29,O28,$Q$2:$Q$29,"Aprobada")&gt;0)),O28&amp;" ","")&amp;IF(NOT(OR(P28="",COUNTIF($F$2:$F$29,P28)=0,COUNTIFS($F$2:$F$29,P28,$Q$2:$Q$29,"Aprobada")&gt;0)),P28&amp;" ","")),IF(Q28="Cursada aprobada",TRIM(IF(NOT(OR(L28="",COUNTIF($F$2:$F$29,L28)=0,COUNTIFS($F$2:$F$29,L28,$Q$2:$Q$29,"Aprobada")&gt;0,AND(Resumen!$B$15="La cursada aprobada",COUNTIFS($F$2:$F$29,L28,$Q$2:$Q$29,"Cursada aprobada")&gt;0))),L28&amp;" ","")&amp;IF(NOT(OR(M28="",COUNTIF($F$2:$F$29,M28)=0,COUNTIFS($F$2:$F$29,M28,$Q$2:$Q$29,"Aprobada")&gt;0,AND(Resumen!$B$15="La cursada aprobada",COUNTIFS($F$2:$F$29,M28,$Q$2:$Q$29,"Cursada aprobada")&gt;0))),M28&amp;" ","")&amp;IF(NOT(OR(N28="",COUNTIF($F$2:$F$29,N28)=0,COUNTIFS($F$2:$F$29,N28,$Q$2:$Q$29,"Aprobada")&gt;0,AND(Resumen!$B$15="La cursada aprobada",COUNTIFS($F$2:$F$29,N28,$Q$2:$Q$29,"Cursada aprobada")&gt;0))),N28&amp;" ","")&amp;IF(NOT(OR(O28="",COUNTIF($F$2:$F$29,O28)=0,COUNTIFS($F$2:$F$29,O28,$Q$2:$Q$29,"Aprobada")&gt;0,AND(Resumen!$B$15="La cursada aprobada",COUNTIFS($F$2:$F$29,O28,$Q$2:$Q$29,"Cursada aprobada")&gt;0))),O28&amp;" ","")&amp;IF(NOT(OR(P28="",COUNTIF($F$2:$F$29,P28)=0,COUNTIFS($F$2:$F$29,P28,$Q$2:$Q$29,"Aprobada")&gt;0,AND(Resumen!$B$15="La cursada aprobada",COUNTIFS($F$2:$F$29,P28,$Q$2:$Q$29,"Cursada aprobada")&gt;0))),P28&amp;" ","")),""))</f>
        <v/>
      </c>
    </row>
    <row r="29" customFormat="false" ht="15" hidden="false" customHeight="false" outlineLevel="0" collapsed="false">
      <c r="A29" s="8" t="s">
        <v>116</v>
      </c>
      <c r="B29" s="8"/>
      <c r="C29" s="9"/>
      <c r="D29" s="9"/>
      <c r="E29" s="9" t="s">
        <v>122</v>
      </c>
      <c r="F29" s="9" t="n">
        <v>362</v>
      </c>
      <c r="G29" s="8" t="s">
        <v>123</v>
      </c>
      <c r="H29" s="9"/>
      <c r="I29" s="9"/>
      <c r="J29" s="9"/>
      <c r="K29" s="9" t="n">
        <v>50</v>
      </c>
      <c r="L29" s="9"/>
      <c r="M29" s="9"/>
      <c r="N29" s="9"/>
      <c r="O29" s="9"/>
      <c r="P29" s="9"/>
      <c r="Q29" s="10" t="s">
        <v>62</v>
      </c>
      <c r="R29" s="9" t="str">
        <f aca="false">IF(Q29="Aprobada","Ya aprobada",IF(Q29="Cursada aprobada","Ya cursada",IF(AND(OR(L29="",COUNTIF($F$2:$F$29,L29)=0,COUNTIFS($F$2:$F$29,L29,$Q$2:$Q$29,"Aprobada")&gt;0,AND(Resumen!$B$15="La cursada aprobada",COUNTIFS($F$2:$F$29,L29,$Q$2:$Q$29,"Cursada aprobada")&gt;0)),OR(M29="",COUNTIF($F$2:$F$29,M29)=0,COUNTIFS($F$2:$F$29,M29,$Q$2:$Q$29,"Aprobada")&gt;0,AND(Resumen!$B$15="La cursada aprobada",COUNTIFS($F$2:$F$29,M29,$Q$2:$Q$29,"Cursada aprobada")&gt;0)),OR(N29="",COUNTIF($F$2:$F$29,N29)=0,COUNTIFS($F$2:$F$29,N29,$Q$2:$Q$29,"Aprobada")&gt;0,AND(Resumen!$B$15="La cursada aprobada",COUNTIFS($F$2:$F$29,N29,$Q$2:$Q$29,"Cursada aprobada")&gt;0)),OR(O29="",COUNTIF($F$2:$F$29,O29)=0,COUNTIFS($F$2:$F$29,O29,$Q$2:$Q$29,"Aprobada")&gt;0,AND(Resumen!$B$15="La cursada aprobada",COUNTIFS($F$2:$F$29,O29,$Q$2:$Q$29,"Cursada aprobada")&gt;0)),OR(P29="",COUNTIF($F$2:$F$29,P29)=0,COUNTIFS($F$2:$F$29,P29,$Q$2:$Q$29,"Aprobada")&gt;0,AND(Resumen!$B$15="La cursada aprobada",COUNTIFS($F$2:$F$29,P29,$Q$2:$Q$29,"Cursada aprobada")&gt;0))),"Sí","No")))</f>
        <v>Sí</v>
      </c>
      <c r="S29" s="8" t="str">
        <f aca="false">TRIM(IF(NOT(OR(L29="",COUNTIF($F$2:$F$29,L29)=0,COUNTIFS($F$2:$F$29,L29,$Q$2:$Q$29,"Aprobada")&gt;0,AND(Resumen!$B$15="La cursada aprobada",COUNTIFS($F$2:$F$29,L29,$Q$2:$Q$29,"Cursada aprobada")&gt;0))),L29&amp;" ","")&amp;IF(NOT(OR(M29="",COUNTIF($F$2:$F$29,M29)=0,COUNTIFS($F$2:$F$29,M29,$Q$2:$Q$29,"Aprobada")&gt;0,AND(Resumen!$B$15="La cursada aprobada",COUNTIFS($F$2:$F$29,M29,$Q$2:$Q$29,"Cursada aprobada")&gt;0))),M29&amp;" ","")&amp;IF(NOT(OR(N29="",COUNTIF($F$2:$F$29,N29)=0,COUNTIFS($F$2:$F$29,N29,$Q$2:$Q$29,"Aprobada")&gt;0,AND(Resumen!$B$15="La cursada aprobada",COUNTIFS($F$2:$F$29,N29,$Q$2:$Q$29,"Cursada aprobada")&gt;0))),N29&amp;" ","")&amp;IF(NOT(OR(O29="",COUNTIF($F$2:$F$29,O29)=0,COUNTIFS($F$2:$F$29,O29,$Q$2:$Q$29,"Aprobada")&gt;0,AND(Resumen!$B$15="La cursada aprobada",COUNTIFS($F$2:$F$29,O29,$Q$2:$Q$29,"Cursada aprobada")&gt;0))),O29&amp;" ","")&amp;IF(NOT(OR(P29="",COUNTIF($F$2:$F$29,P29)=0,COUNTIFS($F$2:$F$29,P29,$Q$2:$Q$29,"Aprobada")&gt;0,AND(Resumen!$B$15="La cursada aprobada",COUNTIFS($F$2:$F$29,P29,$Q$2:$Q$29,"Cursada aprobada")&gt;0))),P29&amp;" ",""))</f>
        <v/>
      </c>
      <c r="T29" s="9" t="str">
        <f aca="false">IF(Q29="Cursada aprobada",IF(AND(OR(L29="",COUNTIF($F$2:$F$29,L29)=0,COUNTIFS($F$2:$F$29,L29,$Q$2:$Q$29,"Aprobada")&gt;0),OR(M29="",COUNTIF($F$2:$F$29,M29)=0,COUNTIFS($F$2:$F$29,M29,$Q$2:$Q$29,"Aprobada")&gt;0),OR(N29="",COUNTIF($F$2:$F$29,N29)=0,COUNTIFS($F$2:$F$29,N29,$Q$2:$Q$29,"Aprobada")&gt;0),OR(O29="",COUNTIF($F$2:$F$29,O29)=0,COUNTIFS($F$2:$F$29,O29,$Q$2:$Q$29,"Aprobada")&gt;0),OR(P29="",COUNTIF($F$2:$F$29,P29)=0,COUNTIFS($F$2:$F$29,P29,$Q$2:$Q$29,"Aprobada")&gt;0)),"Sí","No"),"")</f>
        <v/>
      </c>
      <c r="U29" s="9" t="str">
        <f aca="false">IF(Q29="Aprobada",TRIM(IF(NOT(OR(L29="",COUNTIF($F$2:$F$29,L29)=0,COUNTIFS($F$2:$F$29,L29,$Q$2:$Q$29,"Aprobada")&gt;0)),L29&amp;" ","")&amp;IF(NOT(OR(M29="",COUNTIF($F$2:$F$29,M29)=0,COUNTIFS($F$2:$F$29,M29,$Q$2:$Q$29,"Aprobada")&gt;0)),M29&amp;" ","")&amp;IF(NOT(OR(N29="",COUNTIF($F$2:$F$29,N29)=0,COUNTIFS($F$2:$F$29,N29,$Q$2:$Q$29,"Aprobada")&gt;0)),N29&amp;" ","")&amp;IF(NOT(OR(O29="",COUNTIF($F$2:$F$29,O29)=0,COUNTIFS($F$2:$F$29,O29,$Q$2:$Q$29,"Aprobada")&gt;0)),O29&amp;" ","")&amp;IF(NOT(OR(P29="",COUNTIF($F$2:$F$29,P29)=0,COUNTIFS($F$2:$F$29,P29,$Q$2:$Q$29,"Aprobada")&gt;0)),P29&amp;" ","")),IF(Q29="Cursada aprobada",TRIM(IF(NOT(OR(L29="",COUNTIF($F$2:$F$29,L29)=0,COUNTIFS($F$2:$F$29,L29,$Q$2:$Q$29,"Aprobada")&gt;0,AND(Resumen!$B$15="La cursada aprobada",COUNTIFS($F$2:$F$29,L29,$Q$2:$Q$29,"Cursada aprobada")&gt;0))),L29&amp;" ","")&amp;IF(NOT(OR(M29="",COUNTIF($F$2:$F$29,M29)=0,COUNTIFS($F$2:$F$29,M29,$Q$2:$Q$29,"Aprobada")&gt;0,AND(Resumen!$B$15="La cursada aprobada",COUNTIFS($F$2:$F$29,M29,$Q$2:$Q$29,"Cursada aprobada")&gt;0))),M29&amp;" ","")&amp;IF(NOT(OR(N29="",COUNTIF($F$2:$F$29,N29)=0,COUNTIFS($F$2:$F$29,N29,$Q$2:$Q$29,"Aprobada")&gt;0,AND(Resumen!$B$15="La cursada aprobada",COUNTIFS($F$2:$F$29,N29,$Q$2:$Q$29,"Cursada aprobada")&gt;0))),N29&amp;" ","")&amp;IF(NOT(OR(O29="",COUNTIF($F$2:$F$29,O29)=0,COUNTIFS($F$2:$F$29,O29,$Q$2:$Q$29,"Aprobada")&gt;0,AND(Resumen!$B$15="La cursada aprobada",COUNTIFS($F$2:$F$29,O29,$Q$2:$Q$29,"Cursada aprobada")&gt;0))),O29&amp;" ","")&amp;IF(NOT(OR(P29="",COUNTIF($F$2:$F$29,P29)=0,COUNTIFS($F$2:$F$29,P29,$Q$2:$Q$29,"Aprobada")&gt;0,AND(Resumen!$B$15="La cursada aprobada",COUNTIFS($F$2:$F$29,P29,$Q$2:$Q$29,"Cursada aprobada")&gt;0))),P29&amp;" ","")),""))</f>
        <v/>
      </c>
    </row>
  </sheetData>
  <autoFilter ref="A1:U29"/>
  <conditionalFormatting sqref="Q2:Q29">
    <cfRule type="expression" priority="2" aboveAverage="0" equalAverage="0" bottom="0" percent="0" rank="0" text="" dxfId="8">
      <formula>$Q2="Aprobada"</formula>
    </cfRule>
    <cfRule type="expression" priority="3" aboveAverage="0" equalAverage="0" bottom="0" percent="0" rank="0" text="" dxfId="9">
      <formula>$Q2="Cursada aprobada"</formula>
    </cfRule>
  </conditionalFormatting>
  <conditionalFormatting sqref="U2:U29">
    <cfRule type="expression" priority="4" aboveAverage="0" equalAverage="0" bottom="0" percent="0" rank="0" text="" dxfId="10">
      <formula>LEN($U2)&gt;0</formula>
    </cfRule>
  </conditionalFormatting>
  <conditionalFormatting sqref="T2:T29">
    <cfRule type="expression" priority="5" aboveAverage="0" equalAverage="0" bottom="0" percent="0" rank="0" text="" dxfId="11">
      <formula>$T2="Sí"</formula>
    </cfRule>
    <cfRule type="expression" priority="6" aboveAverage="0" equalAverage="0" bottom="0" percent="0" rank="0" text="" dxfId="12">
      <formula>$T2="No"</formula>
    </cfRule>
  </conditionalFormatting>
  <conditionalFormatting sqref="R2:R29">
    <cfRule type="expression" priority="7" aboveAverage="0" equalAverage="0" bottom="0" percent="0" rank="0" text="" dxfId="11">
      <formula>$R2="Sí"</formula>
    </cfRule>
    <cfRule type="expression" priority="8" aboveAverage="0" equalAverage="0" bottom="0" percent="0" rank="0" text="" dxfId="12">
      <formula>$R2="No"</formula>
    </cfRule>
    <cfRule type="expression" priority="9" aboveAverage="0" equalAverage="0" bottom="0" percent="0" rank="0" text="" dxfId="13">
      <formula>OR($R2="Ya aprobada",$R2="Ya cursada")</formula>
    </cfRule>
  </conditionalFormatting>
  <dataValidations count="1">
    <dataValidation allowBlank="false" error="Elegí No cursada, Cursada aprobada o Aprobada." errorStyle="stop" errorTitle="Valor no válido" operator="between" showDropDown="false" showErrorMessage="true" showInputMessage="false" sqref="Q2:Q29" type="list">
      <formula1>"No cursada,Cursada aprobada,Aprobada"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2026-10-12T00:58:42Z</dcterms:created>
  <dc:creator>openpyxl</dc:creator>
  <dc:description/>
  <dc:language>en-US</dc:language>
  <cp:lastModifiedBy/>
  <dcterms:modified xsi:type="dcterms:W3CDTF">2026-10-12T00:58:43Z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